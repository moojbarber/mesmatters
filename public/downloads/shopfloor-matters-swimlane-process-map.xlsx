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xample" sheetId="2" state="visible" r:id="rId4"/>
    <sheet name="Blank map" sheetId="3" state="visible" r:id="rId5"/>
    <sheet name="Pain poi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<sst xmlns="http://schemas.openxmlformats.org/spreadsheetml/2006/main" count="95" uniqueCount="74">
  <si>
    <t xml:space="preserve">Swimlane process map</t>
  </si>
  <si>
    <t xml:space="preserve">Map one real order through your factory, from release to the confirmation going back to ERP.</t>
  </si>
  <si>
    <t xml:space="preserve">How to use it:</t>
  </si>
  <si>
    <t xml:space="preserve">Each row is a lane: a role or a system. Each column is a step in time, left to right. Write a short action in the cell where it happens.</t>
  </si>
  <si>
    <t xml:space="preserve">Map what actually happens, not the procedure. Stand on the line and follow the order. Ask the people doing the work.</t>
  </si>
  <si>
    <t xml:space="preserve">Mark every hand-off between lanes. Hand-offs are where time gets lost and errors creep in.</t>
  </si>
  <si>
    <t xml:space="preserve">Log each pain point on the Pain points sheet as you go, with the time it costs. That list becomes your requirements.</t>
  </si>
  <si>
    <t xml:space="preserve">The Example sheet shows a typical as-is. Map yours on Blank map, then design the to-be on a copy.</t>
  </si>
  <si>
    <t xml:space="preserve">Key</t>
  </si>
  <si>
    <t xml:space="preserve">Yellow cell, blue text</t>
  </si>
  <si>
    <t xml:space="preserve">Your input. Replace the example values with your own.</t>
  </si>
  <si>
    <t xml:space="preserve">Black text</t>
  </si>
  <si>
    <t xml:space="preserve">Calculated. Leave these alone.</t>
  </si>
  <si>
    <t xml:space="preserve">Green text</t>
  </si>
  <si>
    <t xml:space="preserve">Pulled from another sheet.</t>
  </si>
  <si>
    <t xml:space="preserve">Shopfloor Matters · shopfloormatters.com · Free to use and adapt. General information, not professional advice.</t>
  </si>
  <si>
    <t xml:space="preserve">Example: a typical as-is, paper-based order</t>
  </si>
  <si>
    <t xml:space="preserve">Lanes down the side, time across the top. One short action per cell. Shade hand-offs.</t>
  </si>
  <si>
    <t xml:space="preserve">Lane / step →</t>
  </si>
  <si>
    <t xml:space="preserve">Step 1</t>
  </si>
  <si>
    <t xml:space="preserve">Step 2</t>
  </si>
  <si>
    <t xml:space="preserve">Step 3</t>
  </si>
  <si>
    <t xml:space="preserve">Step 4</t>
  </si>
  <si>
    <t xml:space="preserve">Step 5</t>
  </si>
  <si>
    <t xml:space="preserve">Step 6</t>
  </si>
  <si>
    <t xml:space="preserve">Step 7</t>
  </si>
  <si>
    <t xml:space="preserve">Step 8</t>
  </si>
  <si>
    <t xml:space="preserve">Step 9</t>
  </si>
  <si>
    <t xml:space="preserve">Step 10</t>
  </si>
  <si>
    <t xml:space="preserve">Planner</t>
  </si>
  <si>
    <t xml:space="preserve">Releases order in ERP, prints the pack</t>
  </si>
  <si>
    <t xml:space="preserve">Re-keys confirmation into ERP next morning</t>
  </si>
  <si>
    <t xml:space="preserve">Shift supervisor</t>
  </si>
  <si>
    <t xml:space="preserve">Collects pack, walks it to the line</t>
  </si>
  <si>
    <t xml:space="preserve">Chases quality sign-off</t>
  </si>
  <si>
    <t xml:space="preserve">Collects sheets at end of shift</t>
  </si>
  <si>
    <t xml:space="preserve">Operator</t>
  </si>
  <si>
    <t xml:space="preserve">Waits for material</t>
  </si>
  <si>
    <t xml:space="preserve">Sets up machine from paper instruction</t>
  </si>
  <si>
    <t xml:space="preserve">Runs order, tallies counts on traveller</t>
  </si>
  <si>
    <t xml:space="preserve">Writes scrap and downtime on sheet</t>
  </si>
  <si>
    <t xml:space="preserve">Quality</t>
  </si>
  <si>
    <t xml:space="preserve">First-off check, signs paper form</t>
  </si>
  <si>
    <t xml:space="preserve">In-process checks on paper</t>
  </si>
  <si>
    <t xml:space="preserve">Warehouse</t>
  </si>
  <si>
    <t xml:space="preserve">Picks material from pick list</t>
  </si>
  <si>
    <t xml:space="preserve">Maintenance</t>
  </si>
  <si>
    <t xml:space="preserve">Called by radio when machine stops</t>
  </si>
  <si>
    <t xml:space="preserve">ERP</t>
  </si>
  <si>
    <t xml:space="preserve">Order released</t>
  </si>
  <si>
    <t xml:space="preserve">Order confirmed, a day late</t>
  </si>
  <si>
    <t xml:space="preserve">Paper / spreadsheet</t>
  </si>
  <si>
    <t xml:space="preserve">Traveller, BOM and drawings printed</t>
  </si>
  <si>
    <t xml:space="preserve">Downtime sheet on clipboard</t>
  </si>
  <si>
    <t xml:space="preserve">Supervisor types counts into Excel</t>
  </si>
  <si>
    <t xml:space="preserve">Count the hand-offs: in this example the order changes hands 11 times and is re-keyed twice before ERP knows it's done.</t>
  </si>
  <si>
    <t xml:space="preserve">Your map: order ______ on line ______ , date ______</t>
  </si>
  <si>
    <t xml:space="preserve">Copy this sheet to map the to-be once the as-is is agreed.</t>
  </si>
  <si>
    <t xml:space="preserve">Pain points log</t>
  </si>
  <si>
    <t xml:space="preserve">One row per problem you see while mapping. Time lost × frequency gives you a number for the business case.</t>
  </si>
  <si>
    <t xml:space="preserve">#</t>
  </si>
  <si>
    <t xml:space="preserve">Step</t>
  </si>
  <si>
    <t xml:space="preserve">Lane</t>
  </si>
  <si>
    <t xml:space="preserve">What goes wrong</t>
  </si>
  <si>
    <t xml:space="preserve">Minutes lost each time</t>
  </si>
  <si>
    <t xml:space="preserve">Times per week</t>
  </si>
  <si>
    <t xml:space="preserve">Hours per year</t>
  </si>
  <si>
    <t xml:space="preserve">Idea to fix it</t>
  </si>
  <si>
    <t xml:space="preserve">Priority</t>
  </si>
  <si>
    <t xml:space="preserve">Confirmations re-keyed from paper the next morning</t>
  </si>
  <si>
    <t xml:space="preserve">Confirm automatically from the line</t>
  </si>
  <si>
    <t xml:space="preserve">High</t>
  </si>
  <si>
    <t xml:space="preserve">Total</t>
  </si>
  <si>
    <t xml:space="preserve">Hours per year assumes 48 working weeks. Row 1 is an example. Overwrite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</si>
</sst>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64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6BF"/>
        <bgColor rgb="FFFFFF99"/>
      </patternFill>
    </fill>
    <fill>
      <patternFill patternType="solid">
        <fgColor rgb="FF5B3FD6"/>
        <bgColor rgb="FF3366FF"/>
      </patternFill>
    </fill>
    <fill>
      <patternFill patternType="solid">
        <fgColor rgb="FFE9E5FB"/>
        <bgColor rgb="FFFDE2F3"/>
      </patternFill>
    </fill>
    <fill>
      <patternFill patternType="solid">
        <fgColor rgb="FFDDF5F7"/>
        <bgColor rgb="FFCCFFFF"/>
      </patternFill>
    </fill>
    <fill>
      <patternFill patternType="solid">
        <fgColor rgb="FFFDE2F3"/>
        <bgColor rgb="FFE9E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BF"/>
      <rgbColor rgb="FFDDF5F7"/>
      <rgbColor rgb="FF660066"/>
      <rgbColor rgb="FFFF8080"/>
      <rgbColor rgb="FF0066CC"/>
      <rgbColor rgb="FFE9E5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F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B3FD6"/>
      <rgbColor rgb="FF1A1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4"/>
  </cols>
  <sheetData>
    <row r="1" customFormat="false" ht="19.7" hidden="false" customHeight="false" outlineLevel="0" collapsed="false">
      <c r="A1" s="1" t="s">
        <v>0</v>
      </c>
    </row>
    <row r="3" customFormat="false" ht="15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</row>
    <row r="6" customFormat="false" ht="30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</row>
    <row r="7" customFormat="false" ht="15.7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</row>
    <row r="8" customFormat="false" ht="30" hidden="false" customHeight="tru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30" hidden="false" customHeight="true" outlineLevel="0" collapsed="false">
      <c r="A9" s="2" t="s">
        <v>7</v>
      </c>
      <c r="B9" s="2"/>
      <c r="C9" s="2"/>
      <c r="D9" s="2"/>
      <c r="E9" s="2"/>
      <c r="F9" s="2"/>
      <c r="G9" s="2"/>
      <c r="H9" s="2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  <c r="B12" s="6" t="s">
        <v>10</v>
      </c>
    </row>
    <row r="13" customFormat="false" ht="15" hidden="false" customHeight="false" outlineLevel="0" collapsed="false">
      <c r="A13" s="6" t="s">
        <v>11</v>
      </c>
      <c r="B13" s="6" t="s">
        <v>12</v>
      </c>
    </row>
    <row r="14" customFormat="false" ht="15" hidden="false" customHeight="false" outlineLevel="0" collapsed="false">
      <c r="A14" s="7" t="s">
        <v>13</v>
      </c>
      <c r="B14" s="6" t="s">
        <v>14</v>
      </c>
    </row>
    <row r="16" customFormat="false" ht="15" hidden="false" customHeight="false" outlineLevel="0" collapsed="false">
      <c r="A16" s="8" t="s">
        <v>15</v>
      </c>
    </row>
  </sheetData>
  <mergeCells count="7">
    <mergeCell ref="A3:H3"/>
    <mergeCell ref="A4:H4"/>
    <mergeCell ref="A5:H5"/>
    <mergeCell ref="A6:H6"/>
    <mergeCell ref="A7:H7"/>
    <mergeCell ref="A8:H8"/>
    <mergeCell ref="A9:H9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7"/>
  </cols>
  <sheetData>
    <row r="1" customFormat="false" ht="19.7" hidden="false" customHeight="false" outlineLevel="0" collapsed="false">
      <c r="A1" s="1" t="s">
        <v>16</v>
      </c>
    </row>
    <row r="2" customFormat="false" ht="42" hidden="false" customHeight="true" outlineLevel="0" collapsed="false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A4" s="10" t="s">
        <v>18</v>
      </c>
      <c r="B4" s="10" t="s">
        <v>19</v>
      </c>
      <c r="C4" s="10" t="s">
        <v>20</v>
      </c>
      <c r="D4" s="10" t="s">
        <v>21</v>
      </c>
      <c r="E4" s="10" t="s">
        <v>22</v>
      </c>
      <c r="F4" s="10" t="s">
        <v>23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</row>
    <row r="5" customFormat="false" ht="45.75" hidden="false" customHeight="true" outlineLevel="0" collapsed="false">
      <c r="A5" s="11" t="s">
        <v>29</v>
      </c>
      <c r="B5" s="12" t="s">
        <v>30</v>
      </c>
      <c r="C5" s="13"/>
      <c r="D5" s="13"/>
      <c r="E5" s="13"/>
      <c r="F5" s="13"/>
      <c r="G5" s="13"/>
      <c r="H5" s="13"/>
      <c r="I5" s="13"/>
      <c r="J5" s="12" t="s">
        <v>31</v>
      </c>
      <c r="K5" s="13"/>
    </row>
    <row r="6" customFormat="false" ht="45.75" hidden="false" customHeight="true" outlineLevel="0" collapsed="false">
      <c r="A6" s="11" t="s">
        <v>32</v>
      </c>
      <c r="B6" s="13"/>
      <c r="C6" s="12" t="s">
        <v>33</v>
      </c>
      <c r="D6" s="13"/>
      <c r="E6" s="13"/>
      <c r="F6" s="13"/>
      <c r="G6" s="13"/>
      <c r="H6" s="12" t="s">
        <v>34</v>
      </c>
      <c r="I6" s="12" t="s">
        <v>35</v>
      </c>
      <c r="J6" s="13"/>
      <c r="K6" s="13"/>
    </row>
    <row r="7" customFormat="false" ht="45.75" hidden="false" customHeight="true" outlineLevel="0" collapsed="false">
      <c r="A7" s="11" t="s">
        <v>36</v>
      </c>
      <c r="B7" s="13"/>
      <c r="C7" s="13"/>
      <c r="D7" s="12" t="s">
        <v>37</v>
      </c>
      <c r="E7" s="12" t="s">
        <v>38</v>
      </c>
      <c r="F7" s="12" t="s">
        <v>39</v>
      </c>
      <c r="G7" s="12" t="s">
        <v>40</v>
      </c>
      <c r="H7" s="13"/>
      <c r="I7" s="13"/>
      <c r="J7" s="13"/>
      <c r="K7" s="13"/>
    </row>
    <row r="8" customFormat="false" ht="45.75" hidden="false" customHeight="true" outlineLevel="0" collapsed="false">
      <c r="A8" s="11" t="s">
        <v>41</v>
      </c>
      <c r="B8" s="13"/>
      <c r="C8" s="13"/>
      <c r="D8" s="13"/>
      <c r="E8" s="12" t="s">
        <v>42</v>
      </c>
      <c r="F8" s="13"/>
      <c r="G8" s="13"/>
      <c r="H8" s="12" t="s">
        <v>43</v>
      </c>
      <c r="I8" s="13"/>
      <c r="J8" s="13"/>
      <c r="K8" s="13"/>
    </row>
    <row r="9" customFormat="false" ht="45.75" hidden="false" customHeight="true" outlineLevel="0" collapsed="false">
      <c r="A9" s="11" t="s">
        <v>44</v>
      </c>
      <c r="B9" s="13"/>
      <c r="C9" s="13"/>
      <c r="D9" s="12" t="s">
        <v>45</v>
      </c>
      <c r="E9" s="13"/>
      <c r="F9" s="13"/>
      <c r="G9" s="13"/>
      <c r="H9" s="13"/>
      <c r="I9" s="13"/>
      <c r="J9" s="13"/>
      <c r="K9" s="13"/>
    </row>
    <row r="10" customFormat="false" ht="45.75" hidden="false" customHeight="true" outlineLevel="0" collapsed="false">
      <c r="A10" s="11" t="s">
        <v>46</v>
      </c>
      <c r="B10" s="13"/>
      <c r="C10" s="13"/>
      <c r="D10" s="13"/>
      <c r="E10" s="13"/>
      <c r="F10" s="12" t="s">
        <v>47</v>
      </c>
      <c r="G10" s="13"/>
      <c r="H10" s="13"/>
      <c r="I10" s="13"/>
      <c r="J10" s="13"/>
      <c r="K10" s="13"/>
    </row>
    <row r="11" customFormat="false" ht="45.75" hidden="false" customHeight="true" outlineLevel="0" collapsed="false">
      <c r="A11" s="11" t="s">
        <v>48</v>
      </c>
      <c r="B11" s="12" t="s">
        <v>49</v>
      </c>
      <c r="C11" s="13"/>
      <c r="D11" s="13"/>
      <c r="E11" s="13"/>
      <c r="F11" s="13"/>
      <c r="G11" s="13"/>
      <c r="H11" s="13"/>
      <c r="I11" s="13"/>
      <c r="J11" s="12" t="s">
        <v>50</v>
      </c>
      <c r="K11" s="13"/>
    </row>
    <row r="12" customFormat="false" ht="45.75" hidden="false" customHeight="true" outlineLevel="0" collapsed="false">
      <c r="A12" s="11" t="s">
        <v>51</v>
      </c>
      <c r="B12" s="13"/>
      <c r="C12" s="14" t="s">
        <v>52</v>
      </c>
      <c r="D12" s="13"/>
      <c r="E12" s="13"/>
      <c r="F12" s="13"/>
      <c r="G12" s="14" t="s">
        <v>53</v>
      </c>
      <c r="H12" s="13"/>
      <c r="I12" s="14" t="s">
        <v>54</v>
      </c>
      <c r="J12" s="13"/>
      <c r="K12" s="13"/>
    </row>
    <row r="14" customFormat="false" ht="15" hidden="false" customHeight="false" outlineLevel="0" collapsed="false">
      <c r="A14" s="8" t="s">
        <v>55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7"/>
  </cols>
  <sheetData>
    <row r="1" customFormat="false" ht="19.7" hidden="false" customHeight="false" outlineLevel="0" collapsed="false">
      <c r="A1" s="1" t="s">
        <v>56</v>
      </c>
    </row>
    <row r="2" customFormat="false" ht="42" hidden="false" customHeight="true" outlineLevel="0" collapsed="false">
      <c r="A2" s="9" t="s">
        <v>57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A4" s="10" t="s">
        <v>18</v>
      </c>
      <c r="B4" s="10" t="s">
        <v>19</v>
      </c>
      <c r="C4" s="10" t="s">
        <v>20</v>
      </c>
      <c r="D4" s="10" t="s">
        <v>21</v>
      </c>
      <c r="E4" s="10" t="s">
        <v>22</v>
      </c>
      <c r="F4" s="10" t="s">
        <v>23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</row>
    <row r="5" customFormat="false" ht="45.75" hidden="false" customHeight="true" outlineLevel="0" collapsed="false">
      <c r="A5" s="11" t="s">
        <v>29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45.75" hidden="false" customHeight="true" outlineLevel="0" collapsed="false">
      <c r="A6" s="11" t="s">
        <v>32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45.75" hidden="false" customHeight="true" outlineLevel="0" collapsed="false">
      <c r="A7" s="11" t="s">
        <v>36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45.75" hidden="false" customHeight="true" outlineLevel="0" collapsed="false">
      <c r="A8" s="11" t="s">
        <v>41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45.75" hidden="false" customHeight="true" outlineLevel="0" collapsed="false">
      <c r="A9" s="11" t="s">
        <v>44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45.75" hidden="false" customHeight="true" outlineLevel="0" collapsed="false">
      <c r="A10" s="11" t="s">
        <v>46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45.75" hidden="false" customHeight="true" outlineLevel="0" collapsed="false">
      <c r="A11" s="11" t="s">
        <v>48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45.75" hidden="false" customHeight="true" outlineLevel="0" collapsed="false">
      <c r="A12" s="11" t="s">
        <v>51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10"/>
  </cols>
  <sheetData>
    <row r="1" customFormat="false" ht="19.7" hidden="false" customHeight="false" outlineLevel="0" collapsed="false">
      <c r="A1" s="1" t="s">
        <v>58</v>
      </c>
    </row>
    <row r="2" customFormat="false" ht="42" hidden="false" customHeight="true" outlineLevel="0" collapsed="false">
      <c r="A2" s="9" t="s">
        <v>59</v>
      </c>
      <c r="B2" s="9"/>
      <c r="C2" s="9"/>
      <c r="D2" s="9"/>
      <c r="E2" s="9"/>
      <c r="F2" s="9"/>
      <c r="G2" s="9"/>
      <c r="H2" s="9"/>
      <c r="I2" s="9"/>
    </row>
    <row r="4" customFormat="false" ht="39.55" hidden="false" customHeight="false" outlineLevel="0" collapsed="false">
      <c r="A4" s="10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</row>
    <row r="5" customFormat="false" ht="15" hidden="false" customHeight="false" outlineLevel="0" collapsed="false">
      <c r="A5" s="6" t="n">
        <v>1</v>
      </c>
      <c r="B5" s="15" t="s">
        <v>27</v>
      </c>
      <c r="C5" s="15" t="s">
        <v>29</v>
      </c>
      <c r="D5" s="15" t="s">
        <v>69</v>
      </c>
      <c r="E5" s="15" t="n">
        <v>20</v>
      </c>
      <c r="F5" s="15" t="n">
        <v>15</v>
      </c>
      <c r="G5" s="16" t="n">
        <f aca="false">IF(AND(ISNUMBER(E5),ISNUMBER(F5)),E5*F5*48/60,"")</f>
        <v>240</v>
      </c>
      <c r="H5" s="15" t="s">
        <v>70</v>
      </c>
      <c r="I5" s="15" t="s">
        <v>71</v>
      </c>
    </row>
    <row r="6" customFormat="false" ht="15" hidden="false" customHeight="false" outlineLevel="0" collapsed="false">
      <c r="A6" s="6" t="n">
        <v>2</v>
      </c>
      <c r="B6" s="15"/>
      <c r="C6" s="15"/>
      <c r="D6" s="15"/>
      <c r="E6" s="15"/>
      <c r="F6" s="15"/>
      <c r="G6" s="16" t="str">
        <f aca="false">IF(AND(ISNUMBER(E6),ISNUMBER(F6)),E6*F6*48/60,"")</f>
        <v/>
      </c>
      <c r="H6" s="15"/>
      <c r="I6" s="15"/>
    </row>
    <row r="7" customFormat="false" ht="15" hidden="false" customHeight="false" outlineLevel="0" collapsed="false">
      <c r="A7" s="6" t="n">
        <v>3</v>
      </c>
      <c r="B7" s="15"/>
      <c r="C7" s="15"/>
      <c r="D7" s="15"/>
      <c r="E7" s="15"/>
      <c r="F7" s="15"/>
      <c r="G7" s="16" t="str">
        <f aca="false">IF(AND(ISNUMBER(E7),ISNUMBER(F7)),E7*F7*48/60,"")</f>
        <v/>
      </c>
      <c r="H7" s="15"/>
      <c r="I7" s="15"/>
    </row>
    <row r="8" customFormat="false" ht="15" hidden="false" customHeight="false" outlineLevel="0" collapsed="false">
      <c r="A8" s="6" t="n">
        <v>4</v>
      </c>
      <c r="B8" s="15"/>
      <c r="C8" s="15"/>
      <c r="D8" s="15"/>
      <c r="E8" s="15"/>
      <c r="F8" s="15"/>
      <c r="G8" s="16" t="str">
        <f aca="false">IF(AND(ISNUMBER(E8),ISNUMBER(F8)),E8*F8*48/60,"")</f>
        <v/>
      </c>
      <c r="H8" s="15"/>
      <c r="I8" s="15"/>
    </row>
    <row r="9" customFormat="false" ht="15" hidden="false" customHeight="false" outlineLevel="0" collapsed="false">
      <c r="A9" s="6" t="n">
        <v>5</v>
      </c>
      <c r="B9" s="15"/>
      <c r="C9" s="15"/>
      <c r="D9" s="15"/>
      <c r="E9" s="15"/>
      <c r="F9" s="15"/>
      <c r="G9" s="16" t="str">
        <f aca="false">IF(AND(ISNUMBER(E9),ISNUMBER(F9)),E9*F9*48/60,"")</f>
        <v/>
      </c>
      <c r="H9" s="15"/>
      <c r="I9" s="15"/>
    </row>
    <row r="10" customFormat="false" ht="15" hidden="false" customHeight="false" outlineLevel="0" collapsed="false">
      <c r="A10" s="6" t="n">
        <v>6</v>
      </c>
      <c r="B10" s="15"/>
      <c r="C10" s="15"/>
      <c r="D10" s="15"/>
      <c r="E10" s="15"/>
      <c r="F10" s="15"/>
      <c r="G10" s="16" t="str">
        <f aca="false">IF(AND(ISNUMBER(E10),ISNUMBER(F10)),E10*F10*48/60,"")</f>
        <v/>
      </c>
      <c r="H10" s="15"/>
      <c r="I10" s="15"/>
    </row>
    <row r="11" customFormat="false" ht="15" hidden="false" customHeight="false" outlineLevel="0" collapsed="false">
      <c r="A11" s="6" t="n">
        <v>7</v>
      </c>
      <c r="B11" s="15"/>
      <c r="C11" s="15"/>
      <c r="D11" s="15"/>
      <c r="E11" s="15"/>
      <c r="F11" s="15"/>
      <c r="G11" s="16" t="str">
        <f aca="false">IF(AND(ISNUMBER(E11),ISNUMBER(F11)),E11*F11*48/60,"")</f>
        <v/>
      </c>
      <c r="H11" s="15"/>
      <c r="I11" s="15"/>
    </row>
    <row r="12" customFormat="false" ht="15" hidden="false" customHeight="false" outlineLevel="0" collapsed="false">
      <c r="A12" s="6" t="n">
        <v>8</v>
      </c>
      <c r="B12" s="15"/>
      <c r="C12" s="15"/>
      <c r="D12" s="15"/>
      <c r="E12" s="15"/>
      <c r="F12" s="15"/>
      <c r="G12" s="16" t="str">
        <f aca="false">IF(AND(ISNUMBER(E12),ISNUMBER(F12)),E12*F12*48/60,"")</f>
        <v/>
      </c>
      <c r="H12" s="15"/>
      <c r="I12" s="15"/>
    </row>
    <row r="13" customFormat="false" ht="15" hidden="false" customHeight="false" outlineLevel="0" collapsed="false">
      <c r="A13" s="6" t="n">
        <v>9</v>
      </c>
      <c r="B13" s="15"/>
      <c r="C13" s="15"/>
      <c r="D13" s="15"/>
      <c r="E13" s="15"/>
      <c r="F13" s="15"/>
      <c r="G13" s="16" t="str">
        <f aca="false">IF(AND(ISNUMBER(E13),ISNUMBER(F13)),E13*F13*48/60,"")</f>
        <v/>
      </c>
      <c r="H13" s="15"/>
      <c r="I13" s="15"/>
    </row>
    <row r="14" customFormat="false" ht="15" hidden="false" customHeight="false" outlineLevel="0" collapsed="false">
      <c r="A14" s="6" t="n">
        <v>10</v>
      </c>
      <c r="B14" s="15"/>
      <c r="C14" s="15"/>
      <c r="D14" s="15"/>
      <c r="E14" s="15"/>
      <c r="F14" s="15"/>
      <c r="G14" s="16" t="str">
        <f aca="false">IF(AND(ISNUMBER(E14),ISNUMBER(F14)),E14*F14*48/60,"")</f>
        <v/>
      </c>
      <c r="H14" s="15"/>
      <c r="I14" s="15"/>
    </row>
    <row r="15" customFormat="false" ht="15" hidden="false" customHeight="false" outlineLevel="0" collapsed="false">
      <c r="A15" s="6" t="n">
        <v>11</v>
      </c>
      <c r="B15" s="15"/>
      <c r="C15" s="15"/>
      <c r="D15" s="15"/>
      <c r="E15" s="15"/>
      <c r="F15" s="15"/>
      <c r="G15" s="16" t="str">
        <f aca="false">IF(AND(ISNUMBER(E15),ISNUMBER(F15)),E15*F15*48/60,"")</f>
        <v/>
      </c>
      <c r="H15" s="15"/>
      <c r="I15" s="15"/>
    </row>
    <row r="16" customFormat="false" ht="15" hidden="false" customHeight="false" outlineLevel="0" collapsed="false">
      <c r="A16" s="6" t="n">
        <v>12</v>
      </c>
      <c r="B16" s="15"/>
      <c r="C16" s="15"/>
      <c r="D16" s="15"/>
      <c r="E16" s="15"/>
      <c r="F16" s="15"/>
      <c r="G16" s="16" t="str">
        <f aca="false">IF(AND(ISNUMBER(E16),ISNUMBER(F16)),E16*F16*48/60,"")</f>
        <v/>
      </c>
      <c r="H16" s="15"/>
      <c r="I16" s="15"/>
    </row>
    <row r="17" customFormat="false" ht="15" hidden="false" customHeight="false" outlineLevel="0" collapsed="false">
      <c r="A17" s="6" t="n">
        <v>13</v>
      </c>
      <c r="B17" s="15"/>
      <c r="C17" s="15"/>
      <c r="D17" s="15"/>
      <c r="E17" s="15"/>
      <c r="F17" s="15"/>
      <c r="G17" s="16" t="str">
        <f aca="false">IF(AND(ISNUMBER(E17),ISNUMBER(F17)),E17*F17*48/60,"")</f>
        <v/>
      </c>
      <c r="H17" s="15"/>
      <c r="I17" s="15"/>
    </row>
    <row r="18" customFormat="false" ht="15" hidden="false" customHeight="false" outlineLevel="0" collapsed="false">
      <c r="A18" s="6" t="n">
        <v>14</v>
      </c>
      <c r="B18" s="15"/>
      <c r="C18" s="15"/>
      <c r="D18" s="15"/>
      <c r="E18" s="15"/>
      <c r="F18" s="15"/>
      <c r="G18" s="16" t="str">
        <f aca="false">IF(AND(ISNUMBER(E18),ISNUMBER(F18)),E18*F18*48/60,"")</f>
        <v/>
      </c>
      <c r="H18" s="15"/>
      <c r="I18" s="15"/>
    </row>
    <row r="19" customFormat="false" ht="15" hidden="false" customHeight="false" outlineLevel="0" collapsed="false">
      <c r="A19" s="6" t="n">
        <v>15</v>
      </c>
      <c r="B19" s="15"/>
      <c r="C19" s="15"/>
      <c r="D19" s="15"/>
      <c r="E19" s="15"/>
      <c r="F19" s="15"/>
      <c r="G19" s="16" t="str">
        <f aca="false">IF(AND(ISNUMBER(E19),ISNUMBER(F19)),E19*F19*48/60,"")</f>
        <v/>
      </c>
      <c r="H19" s="15"/>
      <c r="I19" s="15"/>
    </row>
    <row r="20" customFormat="false" ht="15" hidden="false" customHeight="false" outlineLevel="0" collapsed="false">
      <c r="A20" s="6" t="n">
        <v>16</v>
      </c>
      <c r="B20" s="15"/>
      <c r="C20" s="15"/>
      <c r="D20" s="15"/>
      <c r="E20" s="15"/>
      <c r="F20" s="15"/>
      <c r="G20" s="16" t="str">
        <f aca="false">IF(AND(ISNUMBER(E20),ISNUMBER(F20)),E20*F20*48/60,"")</f>
        <v/>
      </c>
      <c r="H20" s="15"/>
      <c r="I20" s="15"/>
    </row>
    <row r="21" customFormat="false" ht="15" hidden="false" customHeight="false" outlineLevel="0" collapsed="false">
      <c r="A21" s="6" t="n">
        <v>17</v>
      </c>
      <c r="B21" s="15"/>
      <c r="C21" s="15"/>
      <c r="D21" s="15"/>
      <c r="E21" s="15"/>
      <c r="F21" s="15"/>
      <c r="G21" s="16" t="str">
        <f aca="false">IF(AND(ISNUMBER(E21),ISNUMBER(F21)),E21*F21*48/60,"")</f>
        <v/>
      </c>
      <c r="H21" s="15"/>
      <c r="I21" s="15"/>
    </row>
    <row r="22" customFormat="false" ht="15" hidden="false" customHeight="false" outlineLevel="0" collapsed="false">
      <c r="A22" s="6" t="n">
        <v>18</v>
      </c>
      <c r="B22" s="15"/>
      <c r="C22" s="15"/>
      <c r="D22" s="15"/>
      <c r="E22" s="15"/>
      <c r="F22" s="15"/>
      <c r="G22" s="16" t="str">
        <f aca="false">IF(AND(ISNUMBER(E22),ISNUMBER(F22)),E22*F22*48/60,"")</f>
        <v/>
      </c>
      <c r="H22" s="15"/>
      <c r="I22" s="15"/>
    </row>
    <row r="23" customFormat="false" ht="15" hidden="false" customHeight="false" outlineLevel="0" collapsed="false">
      <c r="A23" s="6" t="n">
        <v>19</v>
      </c>
      <c r="B23" s="15"/>
      <c r="C23" s="15"/>
      <c r="D23" s="15"/>
      <c r="E23" s="15"/>
      <c r="F23" s="15"/>
      <c r="G23" s="16" t="str">
        <f aca="false">IF(AND(ISNUMBER(E23),ISNUMBER(F23)),E23*F23*48/60,"")</f>
        <v/>
      </c>
      <c r="H23" s="15"/>
      <c r="I23" s="15"/>
    </row>
    <row r="24" customFormat="false" ht="15" hidden="false" customHeight="false" outlineLevel="0" collapsed="false">
      <c r="A24" s="6" t="n">
        <v>20</v>
      </c>
      <c r="B24" s="15"/>
      <c r="C24" s="15"/>
      <c r="D24" s="15"/>
      <c r="E24" s="15"/>
      <c r="F24" s="15"/>
      <c r="G24" s="16" t="str">
        <f aca="false">IF(AND(ISNUMBER(E24),ISNUMBER(F24)),E24*F24*48/60,"")</f>
        <v/>
      </c>
      <c r="H24" s="15"/>
      <c r="I24" s="15"/>
    </row>
    <row r="25" customFormat="false" ht="15" hidden="false" customHeight="false" outlineLevel="0" collapsed="false">
      <c r="A25" s="6" t="n">
        <v>21</v>
      </c>
      <c r="B25" s="15"/>
      <c r="C25" s="15"/>
      <c r="D25" s="15"/>
      <c r="E25" s="15"/>
      <c r="F25" s="15"/>
      <c r="G25" s="16" t="str">
        <f aca="false">IF(AND(ISNUMBER(E25),ISNUMBER(F25)),E25*F25*48/60,"")</f>
        <v/>
      </c>
      <c r="H25" s="15"/>
      <c r="I25" s="15"/>
    </row>
    <row r="26" customFormat="false" ht="15" hidden="false" customHeight="false" outlineLevel="0" collapsed="false">
      <c r="A26" s="6" t="n">
        <v>22</v>
      </c>
      <c r="B26" s="15"/>
      <c r="C26" s="15"/>
      <c r="D26" s="15"/>
      <c r="E26" s="15"/>
      <c r="F26" s="15"/>
      <c r="G26" s="16" t="str">
        <f aca="false">IF(AND(ISNUMBER(E26),ISNUMBER(F26)),E26*F26*48/60,"")</f>
        <v/>
      </c>
      <c r="H26" s="15"/>
      <c r="I26" s="15"/>
    </row>
    <row r="27" customFormat="false" ht="15" hidden="false" customHeight="false" outlineLevel="0" collapsed="false">
      <c r="A27" s="6" t="n">
        <v>23</v>
      </c>
      <c r="B27" s="15"/>
      <c r="C27" s="15"/>
      <c r="D27" s="15"/>
      <c r="E27" s="15"/>
      <c r="F27" s="15"/>
      <c r="G27" s="16" t="str">
        <f aca="false">IF(AND(ISNUMBER(E27),ISNUMBER(F27)),E27*F27*48/60,"")</f>
        <v/>
      </c>
      <c r="H27" s="15"/>
      <c r="I27" s="15"/>
    </row>
    <row r="28" customFormat="false" ht="15" hidden="false" customHeight="false" outlineLevel="0" collapsed="false">
      <c r="A28" s="6" t="n">
        <v>24</v>
      </c>
      <c r="B28" s="15"/>
      <c r="C28" s="15"/>
      <c r="D28" s="15"/>
      <c r="E28" s="15"/>
      <c r="F28" s="15"/>
      <c r="G28" s="16" t="str">
        <f aca="false">IF(AND(ISNUMBER(E28),ISNUMBER(F28)),E28*F28*48/60,"")</f>
        <v/>
      </c>
      <c r="H28" s="15"/>
      <c r="I28" s="15"/>
    </row>
    <row r="29" customFormat="false" ht="15" hidden="false" customHeight="false" outlineLevel="0" collapsed="false">
      <c r="A29" s="6" t="n">
        <v>25</v>
      </c>
      <c r="B29" s="15"/>
      <c r="C29" s="15"/>
      <c r="D29" s="15"/>
      <c r="E29" s="15"/>
      <c r="F29" s="15"/>
      <c r="G29" s="16" t="str">
        <f aca="false">IF(AND(ISNUMBER(E29),ISNUMBER(F29)),E29*F29*48/60,"")</f>
        <v/>
      </c>
      <c r="H29" s="15"/>
      <c r="I29" s="15"/>
    </row>
    <row r="30" customFormat="false" ht="15" hidden="false" customHeight="false" outlineLevel="0" collapsed="false">
      <c r="A30" s="6" t="n">
        <v>26</v>
      </c>
      <c r="B30" s="15"/>
      <c r="C30" s="15"/>
      <c r="D30" s="15"/>
      <c r="E30" s="15"/>
      <c r="F30" s="15"/>
      <c r="G30" s="16" t="str">
        <f aca="false">IF(AND(ISNUMBER(E30),ISNUMBER(F30)),E30*F30*48/60,"")</f>
        <v/>
      </c>
      <c r="H30" s="15"/>
      <c r="I30" s="15"/>
    </row>
    <row r="32" customFormat="false" ht="15" hidden="false" customHeight="false" outlineLevel="0" collapsed="false">
      <c r="F32" s="17" t="s">
        <v>72</v>
      </c>
      <c r="G32" s="18" t="n">
        <f aca="false">SUM(G5:G30)</f>
        <v>240</v>
      </c>
    </row>
    <row r="33" customFormat="false" ht="15" hidden="false" customHeight="false" outlineLevel="0" collapsed="false">
      <c r="A33" s="8" t="s">
        <v>73</v>
      </c>
    </row>
  </sheetData>
  <mergeCells count="1">
    <mergeCell ref="A2:I2"/>
  </mergeCells>
  <dataValidations count="1">
    <dataValidation allowBlank="true" errorStyle="stop" operator="between" showDropDown="false" showErrorMessage="false" showInputMessage="false" sqref="I5:I3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2026-10-23T10:54:32Z</dcterms:created>
  <dc:creator>Matt Barber, Shopfloor Matters</dc:creator>
  <dc:description/>
  <dc:language>en-US</dc:language>
  <cp:lastModifiedBy/>
  <dcterms:modified xsi:type="dcterms:W3CDTF">2026-10-23T10:54:32Z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