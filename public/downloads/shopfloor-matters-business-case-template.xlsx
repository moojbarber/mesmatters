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aseline" sheetId="2" state="visible" r:id="rId4"/>
    <sheet name="Benefits" sheetId="3" state="visible" r:id="rId5"/>
    <sheet name="Costs" sheetId="4" state="visible" r:id="rId6"/>
    <sheet name="Cash flow" sheetId="5" state="visible" r:id="rId7"/>
    <sheet name="Rollou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Revenue × (1 point ÷ current OEE) × share you can sell × contribution margin.</t>
        </r>
      </text>
    </comment>
  </commentList>
</comments>
</file>

<file path=xl/sharedStrings.xml><?xml version="1.0" encoding="utf-8"?>
<sst xmlns="http://schemas.openxmlformats.org/spreadsheetml/2006/main" count="159" uniqueCount="148">
  <si>
    <t xml:space="preserve">MES business case template</t>
  </si>
  <si>
    <t xml:space="preserve">Business cases get approved faster when they show four things clearly:</t>
  </si>
  <si>
    <t xml:space="preserve">1. What the problems cost today, in money (Baseline).</t>
  </si>
  <si>
    <t xml:space="preserve">2. What will improve, by how much and when (Benefits).</t>
  </si>
  <si>
    <t xml:space="preserve">3. Realistic costs and timeline, including your own people, not just licences and services (Costs).</t>
  </si>
  <si>
    <t xml:space="preserve">4. How the risk is managed: a clear rollout plan across every site, with milestones and measures (Rollout).</t>
  </si>
  <si>
    <t xml:space="preserve">How to use it:</t>
  </si>
  <si>
    <t xml:space="preserve">Fill in Baseline with numbers finance will recognise. Set deliberately modest improvements on Benefits. Fill in every cost line, then read Cash flow.</t>
  </si>
  <si>
    <t xml:space="preserve">Make the case for every site as one programme: licences for all your sites, a template built on the first, and a clear plan for the rest.</t>
  </si>
  <si>
    <t xml:space="preserve">The example values describe a fictional mid-size site so you can see how it works. They are not a forecast. Replace them all.</t>
  </si>
  <si>
    <t xml:space="preserve">Every amount is in your own currency. Percentages are entered as percentages (35% not 0.35 is fine, Excel handles both).</t>
  </si>
  <si>
    <t xml:space="preserve">Key</t>
  </si>
  <si>
    <t xml:space="preserve">Yellow cell, blue text</t>
  </si>
  <si>
    <t xml:space="preserve">Your input. Replace the example values with your own.</t>
  </si>
  <si>
    <t xml:space="preserve">Black text</t>
  </si>
  <si>
    <t xml:space="preserve">Calculated. Leave these alone.</t>
  </si>
  <si>
    <t xml:space="preserve">Green text</t>
  </si>
  <si>
    <t xml:space="preserve">Pulled from another sheet.</t>
  </si>
  <si>
    <t xml:space="preserve">Shopfloor Matters · shopfloormatters.com · Free to use and adapt. General information, not professional advice.</t>
  </si>
  <si>
    <t xml:space="preserve">Baseline: what the problems cost today</t>
  </si>
  <si>
    <t xml:space="preserve">Your site as it is now, for the lines or area in scope. Ask finance for revenue, margin and material cost. Measure the rest on the floor for a week if you can.</t>
  </si>
  <si>
    <t xml:space="preserve">Input</t>
  </si>
  <si>
    <t xml:space="preserve">Value</t>
  </si>
  <si>
    <t xml:space="preserve">Unit</t>
  </si>
  <si>
    <t xml:space="preserve">Where to get it</t>
  </si>
  <si>
    <t xml:space="preserve">Annual revenue from the lines in scope</t>
  </si>
  <si>
    <t xml:space="preserve">currency / year</t>
  </si>
  <si>
    <t xml:space="preserve">Finance. Sales value of what these lines make.</t>
  </si>
  <si>
    <t xml:space="preserve">Contribution margin</t>
  </si>
  <si>
    <t xml:space="preserve">% of revenue</t>
  </si>
  <si>
    <t xml:space="preserve">Finance. Revenue minus variable costs.</t>
  </si>
  <si>
    <t xml:space="preserve">Current OEE</t>
  </si>
  <si>
    <t xml:space="preserve">%</t>
  </si>
  <si>
    <t xml:space="preserve">Measured, not estimated. Manual OEE usually flatters you.</t>
  </si>
  <si>
    <t xml:space="preserve">Share of extra output you could sell</t>
  </si>
  <si>
    <t xml:space="preserve">Sales. 100% if demand exceeds capacity, 0% if not.</t>
  </si>
  <si>
    <t xml:space="preserve">Annual material cost on these lines</t>
  </si>
  <si>
    <t xml:space="preserve">Finance or ERP.</t>
  </si>
  <si>
    <t xml:space="preserve">Scrap and rework rate</t>
  </si>
  <si>
    <t xml:space="preserve">% of material</t>
  </si>
  <si>
    <t xml:space="preserve">Quality. Scrap value ÷ material consumed.</t>
  </si>
  <si>
    <t xml:space="preserve">Hours a year spent on paper and re-keying</t>
  </si>
  <si>
    <t xml:space="preserve">hours / year</t>
  </si>
  <si>
    <t xml:space="preserve">Time it: forms, typing up, meeting prep, finding records.</t>
  </si>
  <si>
    <t xml:space="preserve">Loaded hourly rate</t>
  </si>
  <si>
    <t xml:space="preserve">currency / hour</t>
  </si>
  <si>
    <t xml:space="preserve">HR or finance. Wage plus on-costs.</t>
  </si>
  <si>
    <t xml:space="preserve">Average inventory value (raw, WIP, finished)</t>
  </si>
  <si>
    <t xml:space="preserve">currency</t>
  </si>
  <si>
    <t xml:space="preserve">Finance.</t>
  </si>
  <si>
    <t xml:space="preserve">Annual carrying cost of inventory</t>
  </si>
  <si>
    <t xml:space="preserve">% of value</t>
  </si>
  <si>
    <t xml:space="preserve">Finance. Capital, storage, obsolescence. 15% to 25% is common.</t>
  </si>
  <si>
    <t xml:space="preserve">Annual maintenance spend on these lines</t>
  </si>
  <si>
    <t xml:space="preserve">Maintenance or finance. Labour, contractors and spares.</t>
  </si>
  <si>
    <t xml:space="preserve">Cost of scrap and rework today</t>
  </si>
  <si>
    <t xml:space="preserve">Cost of paper and re-keying today</t>
  </si>
  <si>
    <t xml:space="preserve">Cost of carrying inventory today</t>
  </si>
  <si>
    <t xml:space="preserve">Value of one OEE point (the 1% question)</t>
  </si>
  <si>
    <t xml:space="preserve">Benefits: what improves, and when</t>
  </si>
  <si>
    <t xml:space="preserve">Set improvements at the modest end. A board trusts a case that under-promises. The ramp sets how much of the full benefit you bank each year while the system beds in.</t>
  </si>
  <si>
    <t xml:space="preserve">Lever</t>
  </si>
  <si>
    <t xml:space="preserve">Improvement</t>
  </si>
  <si>
    <t xml:space="preserve">How it's measured</t>
  </si>
  <si>
    <t xml:space="preserve">Full-year benefit</t>
  </si>
  <si>
    <t xml:space="preserve">Note</t>
  </si>
  <si>
    <t xml:space="preserve">Higher OEE (points gained)</t>
  </si>
  <si>
    <t xml:space="preserve">OEE points</t>
  </si>
  <si>
    <t xml:space="preserve">Uses the value of one OEE point from Baseline.</t>
  </si>
  <si>
    <t xml:space="preserve">Less scrap and rework</t>
  </si>
  <si>
    <t xml:space="preserve">% cut in today's scrap cost</t>
  </si>
  <si>
    <t xml:space="preserve">A 10% cut in scrap is a modest target.</t>
  </si>
  <si>
    <t xml:space="preserve">Less paper and re-keying</t>
  </si>
  <si>
    <t xml:space="preserve">% of today's paper hours removed</t>
  </si>
  <si>
    <t xml:space="preserve">Count only hours you'd really redeploy or stop paying for.</t>
  </si>
  <si>
    <t xml:space="preserve">Lower inventory</t>
  </si>
  <si>
    <t xml:space="preserve">% cut in average inventory</t>
  </si>
  <si>
    <t xml:space="preserve">Carrying cost saved. The one-off cash release is not counted.</t>
  </si>
  <si>
    <t xml:space="preserve">Less reactive maintenance</t>
  </si>
  <si>
    <t xml:space="preserve">% cut in maintenance spend</t>
  </si>
  <si>
    <t xml:space="preserve">From planned work replacing breakdowns.</t>
  </si>
  <si>
    <t xml:space="preserve">Total full-year benefit</t>
  </si>
  <si>
    <t xml:space="preserve">Year 1</t>
  </si>
  <si>
    <t xml:space="preserve">Year 2</t>
  </si>
  <si>
    <t xml:space="preserve">Year 3</t>
  </si>
  <si>
    <t xml:space="preserve">Benefit ramp</t>
  </si>
  <si>
    <t xml:space="preserve">Not counted here</t>
  </si>
  <si>
    <t xml:space="preserve">Quality escapes avoided, audit time, customer retention, less firefighting. Mention them, but keep them out of the numbers.</t>
  </si>
  <si>
    <t xml:space="preserve">Costs: every line, including your own people</t>
  </si>
  <si>
    <t xml:space="preserve">The internal team is the cost people forget. Name the people and the share of their time. Put contingency in on purpose, not as padding.</t>
  </si>
  <si>
    <t xml:space="preserve">Cost line</t>
  </si>
  <si>
    <t xml:space="preserve">Year 0 (setup)</t>
  </si>
  <si>
    <t xml:space="preserve">Software subscription or licences</t>
  </si>
  <si>
    <t xml:space="preserve">Subscription each year, or licences up front plus maintenance.</t>
  </si>
  <si>
    <t xml:space="preserve">Implementation services</t>
  </si>
  <si>
    <t xml:space="preserve">Partner or vendor services. Ask for the plan behind the number.</t>
  </si>
  <si>
    <t xml:space="preserve">Hardware and devices</t>
  </si>
  <si>
    <t xml:space="preserve">Tablets, terminals, scanners, printers, spares.</t>
  </si>
  <si>
    <t xml:space="preserve">Connectivity and infrastructure</t>
  </si>
  <si>
    <t xml:space="preserve">Machine connectivity, network, Wi-Fi, edge.</t>
  </si>
  <si>
    <t xml:space="preserve">Internal team</t>
  </si>
  <si>
    <t xml:space="preserve">People × share of time × loaded cost. Project lead, super users, IT.</t>
  </si>
  <si>
    <t xml:space="preserve">Training</t>
  </si>
  <si>
    <t xml:space="preserve">Operators on every shift, super users, administrators.</t>
  </si>
  <si>
    <t xml:space="preserve">Running and support</t>
  </si>
  <si>
    <t xml:space="preserve">Hosting, internal support, interface monitoring.</t>
  </si>
  <si>
    <t xml:space="preserve">Contingency</t>
  </si>
  <si>
    <t xml:space="preserve">Contingency rate (applied to every year)</t>
  </si>
  <si>
    <t xml:space="preserve">Total cost</t>
  </si>
  <si>
    <t xml:space="preserve">Cash flow, payback and ROI</t>
  </si>
  <si>
    <t xml:space="preserve">Three years, using the ramp on Benefits. Payback is the first year cumulative cash turns positive.</t>
  </si>
  <si>
    <t xml:space="preserve">Year 0</t>
  </si>
  <si>
    <t xml:space="preserve">Benefit</t>
  </si>
  <si>
    <t xml:space="preserve">Cost</t>
  </si>
  <si>
    <t xml:space="preserve">Net cash flow</t>
  </si>
  <si>
    <t xml:space="preserve">Cumulative</t>
  </si>
  <si>
    <t xml:space="preserve">Three-year benefit</t>
  </si>
  <si>
    <t xml:space="preserve">Three-year cost</t>
  </si>
  <si>
    <t xml:space="preserve">Three-year net benefit</t>
  </si>
  <si>
    <t xml:space="preserve">Three-year ROI</t>
  </si>
  <si>
    <t xml:space="preserve">Payback</t>
  </si>
  <si>
    <t xml:space="preserve">Cost of doing nothing, per year</t>
  </si>
  <si>
    <t xml:space="preserve">Every year you wait, this is what stays on the table.</t>
  </si>
  <si>
    <t xml:space="preserve">Rollout: how the risk is managed</t>
  </si>
  <si>
    <t xml:space="preserve">The section boards read most closely. The programme covers every site. Each stage has a scope, a measure and a milestone, so progress is visible all the way.</t>
  </si>
  <si>
    <t xml:space="preserve">Stage</t>
  </si>
  <si>
    <t xml:space="preserve">Scope</t>
  </si>
  <si>
    <t xml:space="preserve">Duration</t>
  </si>
  <si>
    <t xml:space="preserve">Success measure</t>
  </si>
  <si>
    <t xml:space="preserve">Milestone</t>
  </si>
  <si>
    <t xml:space="preserve">Owner</t>
  </si>
  <si>
    <t xml:space="preserve">1. First site</t>
  </si>
  <si>
    <t xml:space="preserve">The whole site, starting with production and quality</t>
  </si>
  <si>
    <t xml:space="preserve">6 to 9 months</t>
  </si>
  <si>
    <t xml:space="preserve">OEE up 3 points against baseline; scrap down 10%</t>
  </si>
  <si>
    <t xml:space="preserve">First site live on every shift</t>
  </si>
  <si>
    <t xml:space="preserve">Operations director</t>
  </si>
  <si>
    <t xml:space="preserve">2. Template</t>
  </si>
  <si>
    <t xml:space="preserve">Standard processes, master data rules, KPIs and screens from the first site</t>
  </si>
  <si>
    <t xml:space="preserve">2 to 3 months</t>
  </si>
  <si>
    <t xml:space="preserve">Template signed off by the centre of excellence</t>
  </si>
  <si>
    <t xml:space="preserve">Template ready for the next site</t>
  </si>
  <si>
    <t xml:space="preserve">Programme lead</t>
  </si>
  <si>
    <t xml:space="preserve">3. Remaining sites</t>
  </si>
  <si>
    <t xml:space="preserve">Every other site, from the same template</t>
  </si>
  <si>
    <t xml:space="preserve">4 to 6 months per site</t>
  </si>
  <si>
    <t xml:space="preserve">Go-live on time with under 10% local change; benefits on Benefits sheet reached</t>
  </si>
  <si>
    <t xml:space="preserve">Each site live on every shift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</si>
</sst>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&quot; pt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64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6BF"/>
        <bgColor rgb="FFFFFF99"/>
      </patternFill>
    </fill>
    <fill>
      <patternFill patternType="solid">
        <fgColor rgb="FF5B3FD6"/>
        <bgColor rgb="FF3366FF"/>
      </patternFill>
    </fill>
    <fill>
      <patternFill patternType="solid">
        <fgColor rgb="FFDDF5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BF"/>
      <rgbColor rgb="FFDDF5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5B3FD6"/>
      <rgbColor rgb="FF1A1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4"/>
  </cols>
  <sheetData>
    <row r="1" customFormat="false" ht="19.7" hidden="false" customHeight="fals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15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</row>
    <row r="11" customFormat="false" ht="30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  <c r="H11" s="4"/>
    </row>
    <row r="12" customFormat="false" ht="30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  <c r="H12" s="4"/>
    </row>
    <row r="14" customFormat="false" ht="15" hidden="false" customHeight="false" outlineLevel="0" collapsed="false">
      <c r="A14" s="5" t="s">
        <v>11</v>
      </c>
    </row>
    <row r="15" customFormat="false" ht="15" hidden="false" customHeight="false" outlineLevel="0" collapsed="false">
      <c r="A15" s="6" t="s">
        <v>12</v>
      </c>
      <c r="B15" s="7" t="s">
        <v>13</v>
      </c>
    </row>
    <row r="16" customFormat="false" ht="15" hidden="false" customHeight="false" outlineLevel="0" collapsed="false">
      <c r="A16" s="7" t="s">
        <v>14</v>
      </c>
      <c r="B16" s="7" t="s">
        <v>15</v>
      </c>
    </row>
    <row r="17" customFormat="false" ht="15" hidden="false" customHeight="false" outlineLevel="0" collapsed="false">
      <c r="A17" s="8" t="s">
        <v>16</v>
      </c>
      <c r="B17" s="7" t="s">
        <v>17</v>
      </c>
    </row>
    <row r="19" customFormat="false" ht="15" hidden="false" customHeight="false" outlineLevel="0" collapsed="false">
      <c r="A19" s="9" t="s">
        <v>18</v>
      </c>
    </row>
  </sheetData>
  <mergeCells count="10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6"/>
    <col collapsed="false" customWidth="true" hidden="false" outlineLevel="0" max="4" min="4" style="1" width="58"/>
  </cols>
  <sheetData>
    <row r="1" customFormat="false" ht="19.7" hidden="false" customHeight="false" outlineLevel="0" collapsed="false">
      <c r="A1" s="2" t="s">
        <v>19</v>
      </c>
    </row>
    <row r="2" customFormat="false" ht="42" hidden="false" customHeight="true" outlineLevel="0" collapsed="false">
      <c r="A2" s="10" t="s">
        <v>20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1" t="s">
        <v>21</v>
      </c>
      <c r="B4" s="11" t="s">
        <v>22</v>
      </c>
      <c r="C4" s="11" t="s">
        <v>23</v>
      </c>
      <c r="D4" s="11" t="s">
        <v>24</v>
      </c>
    </row>
    <row r="5" customFormat="false" ht="15" hidden="false" customHeight="false" outlineLevel="0" collapsed="false">
      <c r="A5" s="12" t="s">
        <v>25</v>
      </c>
      <c r="B5" s="13" t="n">
        <v>25000000</v>
      </c>
      <c r="C5" s="14" t="s">
        <v>26</v>
      </c>
      <c r="D5" s="15" t="s">
        <v>27</v>
      </c>
    </row>
    <row r="6" customFormat="false" ht="15" hidden="false" customHeight="false" outlineLevel="0" collapsed="false">
      <c r="A6" s="12" t="s">
        <v>28</v>
      </c>
      <c r="B6" s="16" t="n">
        <v>0.35</v>
      </c>
      <c r="C6" s="14" t="s">
        <v>29</v>
      </c>
      <c r="D6" s="15" t="s">
        <v>30</v>
      </c>
    </row>
    <row r="7" customFormat="false" ht="15" hidden="false" customHeight="false" outlineLevel="0" collapsed="false">
      <c r="A7" s="12" t="s">
        <v>31</v>
      </c>
      <c r="B7" s="16" t="n">
        <v>0.55</v>
      </c>
      <c r="C7" s="14" t="s">
        <v>32</v>
      </c>
      <c r="D7" s="15" t="s">
        <v>33</v>
      </c>
    </row>
    <row r="8" customFormat="false" ht="15" hidden="false" customHeight="false" outlineLevel="0" collapsed="false">
      <c r="A8" s="12" t="s">
        <v>34</v>
      </c>
      <c r="B8" s="16" t="n">
        <v>0.5</v>
      </c>
      <c r="C8" s="14" t="s">
        <v>32</v>
      </c>
      <c r="D8" s="15" t="s">
        <v>35</v>
      </c>
    </row>
    <row r="9" customFormat="false" ht="15" hidden="false" customHeight="false" outlineLevel="0" collapsed="false">
      <c r="A9" s="12" t="s">
        <v>36</v>
      </c>
      <c r="B9" s="13" t="n">
        <v>11000000</v>
      </c>
      <c r="C9" s="14" t="s">
        <v>26</v>
      </c>
      <c r="D9" s="15" t="s">
        <v>37</v>
      </c>
    </row>
    <row r="10" customFormat="false" ht="15" hidden="false" customHeight="false" outlineLevel="0" collapsed="false">
      <c r="A10" s="12" t="s">
        <v>38</v>
      </c>
      <c r="B10" s="16" t="n">
        <v>0.04</v>
      </c>
      <c r="C10" s="14" t="s">
        <v>39</v>
      </c>
      <c r="D10" s="15" t="s">
        <v>40</v>
      </c>
    </row>
    <row r="11" customFormat="false" ht="15" hidden="false" customHeight="false" outlineLevel="0" collapsed="false">
      <c r="A11" s="12" t="s">
        <v>41</v>
      </c>
      <c r="B11" s="13" t="n">
        <v>9000</v>
      </c>
      <c r="C11" s="14" t="s">
        <v>42</v>
      </c>
      <c r="D11" s="15" t="s">
        <v>43</v>
      </c>
    </row>
    <row r="12" customFormat="false" ht="15" hidden="false" customHeight="false" outlineLevel="0" collapsed="false">
      <c r="A12" s="12" t="s">
        <v>44</v>
      </c>
      <c r="B12" s="13" t="n">
        <v>32</v>
      </c>
      <c r="C12" s="14" t="s">
        <v>45</v>
      </c>
      <c r="D12" s="15" t="s">
        <v>46</v>
      </c>
    </row>
    <row r="13" customFormat="false" ht="15" hidden="false" customHeight="false" outlineLevel="0" collapsed="false">
      <c r="A13" s="12" t="s">
        <v>47</v>
      </c>
      <c r="B13" s="13" t="n">
        <v>4000000</v>
      </c>
      <c r="C13" s="14" t="s">
        <v>48</v>
      </c>
      <c r="D13" s="15" t="s">
        <v>49</v>
      </c>
    </row>
    <row r="14" customFormat="false" ht="15" hidden="false" customHeight="false" outlineLevel="0" collapsed="false">
      <c r="A14" s="12" t="s">
        <v>50</v>
      </c>
      <c r="B14" s="16" t="n">
        <v>0.2</v>
      </c>
      <c r="C14" s="14" t="s">
        <v>51</v>
      </c>
      <c r="D14" s="15" t="s">
        <v>52</v>
      </c>
    </row>
    <row r="15" customFormat="false" ht="15" hidden="false" customHeight="false" outlineLevel="0" collapsed="false">
      <c r="A15" s="12" t="s">
        <v>53</v>
      </c>
      <c r="B15" s="13" t="n">
        <v>1200000</v>
      </c>
      <c r="C15" s="14" t="s">
        <v>26</v>
      </c>
      <c r="D15" s="15" t="s">
        <v>54</v>
      </c>
    </row>
    <row r="17" customFormat="false" ht="15" hidden="false" customHeight="false" outlineLevel="0" collapsed="false">
      <c r="A17" s="17" t="s">
        <v>55</v>
      </c>
      <c r="B17" s="18" t="n">
        <f aca="false">B9*B10</f>
        <v>440000</v>
      </c>
    </row>
    <row r="18" customFormat="false" ht="15" hidden="false" customHeight="false" outlineLevel="0" collapsed="false">
      <c r="A18" s="17" t="s">
        <v>56</v>
      </c>
      <c r="B18" s="18" t="n">
        <f aca="false">B11*B12</f>
        <v>288000</v>
      </c>
    </row>
    <row r="19" customFormat="false" ht="15" hidden="false" customHeight="false" outlineLevel="0" collapsed="false">
      <c r="A19" s="17" t="s">
        <v>57</v>
      </c>
      <c r="B19" s="18" t="n">
        <f aca="false">B13*B14</f>
        <v>800000</v>
      </c>
    </row>
    <row r="20" customFormat="false" ht="15" hidden="false" customHeight="false" outlineLevel="0" collapsed="false">
      <c r="A20" s="17" t="s">
        <v>58</v>
      </c>
      <c r="B20" s="18" t="n">
        <f aca="false">IF(B7&gt;0,B5*(0.01/B7)*B8*B6,0)</f>
        <v>79545.4545454545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18"/>
    <col collapsed="false" customWidth="true" hidden="false" outlineLevel="0" max="5" min="5" style="1" width="50"/>
  </cols>
  <sheetData>
    <row r="1" customFormat="false" ht="19.7" hidden="false" customHeight="false" outlineLevel="0" collapsed="false">
      <c r="A1" s="2" t="s">
        <v>59</v>
      </c>
    </row>
    <row r="2" customFormat="false" ht="42" hidden="false" customHeight="true" outlineLevel="0" collapsed="false">
      <c r="A2" s="10" t="s">
        <v>60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1" t="s">
        <v>61</v>
      </c>
      <c r="B4" s="11" t="s">
        <v>62</v>
      </c>
      <c r="C4" s="11" t="s">
        <v>63</v>
      </c>
      <c r="D4" s="11" t="s">
        <v>64</v>
      </c>
      <c r="E4" s="11" t="s">
        <v>65</v>
      </c>
    </row>
    <row r="5" customFormat="false" ht="15" hidden="false" customHeight="false" outlineLevel="0" collapsed="false">
      <c r="A5" s="12" t="s">
        <v>66</v>
      </c>
      <c r="B5" s="19" t="n">
        <v>5</v>
      </c>
      <c r="C5" s="14" t="s">
        <v>67</v>
      </c>
      <c r="D5" s="20" t="n">
        <f aca="false">Baseline!B20*B5</f>
        <v>397727.272727273</v>
      </c>
      <c r="E5" s="15" t="s">
        <v>68</v>
      </c>
    </row>
    <row r="6" customFormat="false" ht="15" hidden="false" customHeight="false" outlineLevel="0" collapsed="false">
      <c r="A6" s="12" t="s">
        <v>69</v>
      </c>
      <c r="B6" s="16" t="n">
        <v>0.1</v>
      </c>
      <c r="C6" s="14" t="s">
        <v>70</v>
      </c>
      <c r="D6" s="20" t="n">
        <f aca="false">Baseline!B17*B6</f>
        <v>44000</v>
      </c>
      <c r="E6" s="15" t="s">
        <v>71</v>
      </c>
    </row>
    <row r="7" customFormat="false" ht="15" hidden="false" customHeight="false" outlineLevel="0" collapsed="false">
      <c r="A7" s="12" t="s">
        <v>72</v>
      </c>
      <c r="B7" s="16" t="n">
        <v>0.5</v>
      </c>
      <c r="C7" s="14" t="s">
        <v>73</v>
      </c>
      <c r="D7" s="20" t="n">
        <f aca="false">Baseline!B18*B7</f>
        <v>144000</v>
      </c>
      <c r="E7" s="15" t="s">
        <v>74</v>
      </c>
    </row>
    <row r="8" customFormat="false" ht="15" hidden="false" customHeight="false" outlineLevel="0" collapsed="false">
      <c r="A8" s="12" t="s">
        <v>75</v>
      </c>
      <c r="B8" s="16" t="n">
        <v>0.1</v>
      </c>
      <c r="C8" s="14" t="s">
        <v>76</v>
      </c>
      <c r="D8" s="20" t="n">
        <f aca="false">Baseline!B19*B8</f>
        <v>80000</v>
      </c>
      <c r="E8" s="15" t="s">
        <v>77</v>
      </c>
    </row>
    <row r="9" customFormat="false" ht="15" hidden="false" customHeight="false" outlineLevel="0" collapsed="false">
      <c r="A9" s="12" t="s">
        <v>78</v>
      </c>
      <c r="B9" s="16" t="n">
        <v>0.05</v>
      </c>
      <c r="C9" s="14" t="s">
        <v>79</v>
      </c>
      <c r="D9" s="20" t="n">
        <f aca="false">Baseline!B15*B9</f>
        <v>60000</v>
      </c>
      <c r="E9" s="15" t="s">
        <v>80</v>
      </c>
    </row>
    <row r="10" customFormat="false" ht="15" hidden="false" customHeight="false" outlineLevel="0" collapsed="false">
      <c r="A10" s="17" t="s">
        <v>81</v>
      </c>
      <c r="D10" s="18" t="n">
        <f aca="false">SUM(D5:D9)</f>
        <v>725727.272727273</v>
      </c>
    </row>
    <row r="11" customFormat="false" ht="15" hidden="false" customHeight="false" outlineLevel="0" collapsed="false">
      <c r="B11" s="17" t="s">
        <v>82</v>
      </c>
      <c r="C11" s="17" t="s">
        <v>83</v>
      </c>
      <c r="D11" s="17" t="s">
        <v>84</v>
      </c>
    </row>
    <row r="12" customFormat="false" ht="15" hidden="false" customHeight="false" outlineLevel="0" collapsed="false">
      <c r="A12" s="17" t="s">
        <v>85</v>
      </c>
      <c r="B12" s="16" t="n">
        <v>0.4</v>
      </c>
      <c r="C12" s="16" t="n">
        <v>0.8</v>
      </c>
      <c r="D12" s="16" t="n">
        <v>1</v>
      </c>
    </row>
    <row r="13" customFormat="false" ht="30" hidden="false" customHeight="true" outlineLevel="0" collapsed="false">
      <c r="A13" s="14" t="s">
        <v>86</v>
      </c>
      <c r="B13" s="15" t="s">
        <v>87</v>
      </c>
      <c r="C13" s="15"/>
      <c r="D13" s="15"/>
      <c r="E13" s="15"/>
    </row>
  </sheetData>
  <mergeCells count="2">
    <mergeCell ref="A2:F2"/>
    <mergeCell ref="B13:E13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5"/>
    <col collapsed="false" customWidth="true" hidden="false" outlineLevel="0" max="5" min="3" style="1" width="13"/>
    <col collapsed="false" customWidth="true" hidden="false" outlineLevel="0" max="6" min="6" style="1" width="52"/>
  </cols>
  <sheetData>
    <row r="1" customFormat="false" ht="19.7" hidden="false" customHeight="false" outlineLevel="0" collapsed="false">
      <c r="A1" s="2" t="s">
        <v>88</v>
      </c>
    </row>
    <row r="2" customFormat="false" ht="42" hidden="false" customHeight="true" outlineLevel="0" collapsed="false">
      <c r="A2" s="10" t="s">
        <v>89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1" t="s">
        <v>90</v>
      </c>
      <c r="B4" s="11" t="s">
        <v>91</v>
      </c>
      <c r="C4" s="11" t="s">
        <v>82</v>
      </c>
      <c r="D4" s="11" t="s">
        <v>83</v>
      </c>
      <c r="E4" s="11" t="s">
        <v>84</v>
      </c>
      <c r="F4" s="11" t="s">
        <v>65</v>
      </c>
    </row>
    <row r="5" customFormat="false" ht="15" hidden="false" customHeight="false" outlineLevel="0" collapsed="false">
      <c r="A5" s="12" t="s">
        <v>92</v>
      </c>
      <c r="B5" s="13" t="n">
        <v>0</v>
      </c>
      <c r="C5" s="13" t="n">
        <v>90000</v>
      </c>
      <c r="D5" s="13" t="n">
        <v>90000</v>
      </c>
      <c r="E5" s="13" t="n">
        <v>90000</v>
      </c>
      <c r="F5" s="15" t="s">
        <v>93</v>
      </c>
    </row>
    <row r="6" customFormat="false" ht="15" hidden="false" customHeight="false" outlineLevel="0" collapsed="false">
      <c r="A6" s="12" t="s">
        <v>94</v>
      </c>
      <c r="B6" s="13" t="n">
        <v>250000</v>
      </c>
      <c r="C6" s="13" t="n">
        <v>30000</v>
      </c>
      <c r="D6" s="13" t="n">
        <v>0</v>
      </c>
      <c r="E6" s="13" t="n">
        <v>0</v>
      </c>
      <c r="F6" s="15" t="s">
        <v>95</v>
      </c>
    </row>
    <row r="7" customFormat="false" ht="15" hidden="false" customHeight="false" outlineLevel="0" collapsed="false">
      <c r="A7" s="12" t="s">
        <v>96</v>
      </c>
      <c r="B7" s="13" t="n">
        <v>80000</v>
      </c>
      <c r="C7" s="13" t="n">
        <v>10000</v>
      </c>
      <c r="D7" s="13" t="n">
        <v>10000</v>
      </c>
      <c r="E7" s="13" t="n">
        <v>10000</v>
      </c>
      <c r="F7" s="15" t="s">
        <v>97</v>
      </c>
    </row>
    <row r="8" customFormat="false" ht="15" hidden="false" customHeight="false" outlineLevel="0" collapsed="false">
      <c r="A8" s="12" t="s">
        <v>98</v>
      </c>
      <c r="B8" s="13" t="n">
        <v>60000</v>
      </c>
      <c r="C8" s="13" t="n">
        <v>0</v>
      </c>
      <c r="D8" s="13" t="n">
        <v>0</v>
      </c>
      <c r="E8" s="13" t="n">
        <v>0</v>
      </c>
      <c r="F8" s="15" t="s">
        <v>99</v>
      </c>
    </row>
    <row r="9" customFormat="false" ht="15" hidden="false" customHeight="false" outlineLevel="0" collapsed="false">
      <c r="A9" s="12" t="s">
        <v>100</v>
      </c>
      <c r="B9" s="13" t="n">
        <v>150000</v>
      </c>
      <c r="C9" s="13" t="n">
        <v>80000</v>
      </c>
      <c r="D9" s="13" t="n">
        <v>40000</v>
      </c>
      <c r="E9" s="13" t="n">
        <v>40000</v>
      </c>
      <c r="F9" s="15" t="s">
        <v>101</v>
      </c>
    </row>
    <row r="10" customFormat="false" ht="15" hidden="false" customHeight="false" outlineLevel="0" collapsed="false">
      <c r="A10" s="12" t="s">
        <v>102</v>
      </c>
      <c r="B10" s="13" t="n">
        <v>30000</v>
      </c>
      <c r="C10" s="13" t="n">
        <v>10000</v>
      </c>
      <c r="D10" s="13" t="n">
        <v>5000</v>
      </c>
      <c r="E10" s="13" t="n">
        <v>5000</v>
      </c>
      <c r="F10" s="15" t="s">
        <v>103</v>
      </c>
    </row>
    <row r="11" customFormat="false" ht="15" hidden="false" customHeight="false" outlineLevel="0" collapsed="false">
      <c r="A11" s="12" t="s">
        <v>104</v>
      </c>
      <c r="B11" s="13" t="n">
        <v>0</v>
      </c>
      <c r="C11" s="13" t="n">
        <v>25000</v>
      </c>
      <c r="D11" s="13" t="n">
        <v>25000</v>
      </c>
      <c r="E11" s="13" t="n">
        <v>25000</v>
      </c>
      <c r="F11" s="15" t="s">
        <v>105</v>
      </c>
    </row>
    <row r="12" customFormat="false" ht="15" hidden="false" customHeight="false" outlineLevel="0" collapsed="false">
      <c r="A12" s="17" t="s">
        <v>106</v>
      </c>
      <c r="B12" s="21" t="n">
        <f aca="false">SUM(B5:B11)*$B$13</f>
        <v>85500</v>
      </c>
      <c r="C12" s="21" t="n">
        <f aca="false">SUM(C5:C11)*$B$13</f>
        <v>36750</v>
      </c>
      <c r="D12" s="21" t="n">
        <f aca="false">SUM(D5:D11)*$B$13</f>
        <v>25500</v>
      </c>
      <c r="E12" s="21" t="n">
        <f aca="false">SUM(E5:E11)*$B$13</f>
        <v>25500</v>
      </c>
    </row>
    <row r="13" customFormat="false" ht="15" hidden="false" customHeight="false" outlineLevel="0" collapsed="false">
      <c r="A13" s="12" t="s">
        <v>107</v>
      </c>
      <c r="B13" s="16" t="n">
        <v>0.15</v>
      </c>
    </row>
    <row r="14" customFormat="false" ht="15" hidden="false" customHeight="false" outlineLevel="0" collapsed="false">
      <c r="A14" s="17" t="s">
        <v>108</v>
      </c>
      <c r="B14" s="18" t="n">
        <f aca="false">SUM(B5:B12)</f>
        <v>655500</v>
      </c>
      <c r="C14" s="18" t="n">
        <f aca="false">SUM(C5:C12)</f>
        <v>281750</v>
      </c>
      <c r="D14" s="18" t="n">
        <f aca="false">SUM(D5:D12)</f>
        <v>195500</v>
      </c>
      <c r="E14" s="18" t="n">
        <f aca="false">SUM(E5:E12)</f>
        <v>195500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5"/>
  </cols>
  <sheetData>
    <row r="1" customFormat="false" ht="19.7" hidden="false" customHeight="false" outlineLevel="0" collapsed="false">
      <c r="A1" s="2" t="s">
        <v>109</v>
      </c>
    </row>
    <row r="2" customFormat="false" ht="42" hidden="false" customHeight="true" outlineLevel="0" collapsed="false">
      <c r="A2" s="10" t="s">
        <v>110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1"/>
      <c r="B4" s="11" t="s">
        <v>111</v>
      </c>
      <c r="C4" s="11" t="s">
        <v>82</v>
      </c>
      <c r="D4" s="11" t="s">
        <v>83</v>
      </c>
      <c r="E4" s="11" t="s">
        <v>84</v>
      </c>
    </row>
    <row r="5" customFormat="false" ht="15" hidden="false" customHeight="false" outlineLevel="0" collapsed="false">
      <c r="A5" s="12" t="s">
        <v>112</v>
      </c>
      <c r="B5" s="21" t="n">
        <v>0</v>
      </c>
      <c r="C5" s="20" t="n">
        <f aca="false">Benefits!$D$10*Benefits!B12</f>
        <v>290290.909090909</v>
      </c>
      <c r="D5" s="20" t="n">
        <f aca="false">Benefits!$D$10*Benefits!C12</f>
        <v>580581.818181818</v>
      </c>
      <c r="E5" s="20" t="n">
        <f aca="false">Benefits!$D$10*Benefits!D12</f>
        <v>725727.272727273</v>
      </c>
    </row>
    <row r="6" customFormat="false" ht="15" hidden="false" customHeight="false" outlineLevel="0" collapsed="false">
      <c r="A6" s="12" t="s">
        <v>113</v>
      </c>
      <c r="B6" s="20" t="n">
        <f aca="false">-Costs!B14</f>
        <v>-655500</v>
      </c>
      <c r="C6" s="20" t="n">
        <f aca="false">-Costs!C14</f>
        <v>-281750</v>
      </c>
      <c r="D6" s="20" t="n">
        <f aca="false">-Costs!D14</f>
        <v>-195500</v>
      </c>
      <c r="E6" s="20" t="n">
        <f aca="false">-Costs!E14</f>
        <v>-195500</v>
      </c>
    </row>
    <row r="7" customFormat="false" ht="15" hidden="false" customHeight="false" outlineLevel="0" collapsed="false">
      <c r="A7" s="17" t="s">
        <v>114</v>
      </c>
      <c r="B7" s="22" t="n">
        <f aca="false">B5+B6</f>
        <v>-655500</v>
      </c>
      <c r="C7" s="22" t="n">
        <f aca="false">C5+C6</f>
        <v>8540.90909090912</v>
      </c>
      <c r="D7" s="22" t="n">
        <f aca="false">D5+D6</f>
        <v>385081.818181818</v>
      </c>
      <c r="E7" s="22" t="n">
        <f aca="false">E5+E6</f>
        <v>530227.272727273</v>
      </c>
    </row>
    <row r="8" customFormat="false" ht="15" hidden="false" customHeight="false" outlineLevel="0" collapsed="false">
      <c r="A8" s="17" t="s">
        <v>115</v>
      </c>
      <c r="B8" s="18" t="n">
        <f aca="false">B7</f>
        <v>-655500</v>
      </c>
      <c r="C8" s="18" t="n">
        <f aca="false">B8+C7</f>
        <v>-646959.090909091</v>
      </c>
      <c r="D8" s="18" t="n">
        <f aca="false">C8+D7</f>
        <v>-261877.272727273</v>
      </c>
      <c r="E8" s="18" t="n">
        <f aca="false">D8+E7</f>
        <v>268350</v>
      </c>
    </row>
    <row r="10" customFormat="false" ht="15" hidden="false" customHeight="false" outlineLevel="0" collapsed="false">
      <c r="A10" s="17" t="s">
        <v>116</v>
      </c>
      <c r="B10" s="22" t="n">
        <f aca="false">SUM(C5:E5)</f>
        <v>1596600</v>
      </c>
    </row>
    <row r="11" customFormat="false" ht="15" hidden="false" customHeight="false" outlineLevel="0" collapsed="false">
      <c r="A11" s="17" t="s">
        <v>117</v>
      </c>
      <c r="B11" s="22" t="n">
        <f aca="false">-SUM(B6:E6)</f>
        <v>1328250</v>
      </c>
    </row>
    <row r="12" customFormat="false" ht="15" hidden="false" customHeight="false" outlineLevel="0" collapsed="false">
      <c r="A12" s="17" t="s">
        <v>118</v>
      </c>
      <c r="B12" s="18" t="n">
        <f aca="false">B10-B11</f>
        <v>268350</v>
      </c>
    </row>
    <row r="13" customFormat="false" ht="15" hidden="false" customHeight="false" outlineLevel="0" collapsed="false">
      <c r="A13" s="17" t="s">
        <v>119</v>
      </c>
      <c r="B13" s="23" t="n">
        <f aca="false">IF(B11&gt;0,B12/B11,0)</f>
        <v>0.202032749858837</v>
      </c>
    </row>
    <row r="14" customFormat="false" ht="15" hidden="false" customHeight="false" outlineLevel="0" collapsed="false">
      <c r="A14" s="17" t="s">
        <v>120</v>
      </c>
      <c r="B14" s="24" t="str">
        <f aca="false">IF(C8&gt;=0,"Year 1",IF(D8&gt;=0,"Year 2",IF(E8&gt;=0,"Year 3","After year 3")))</f>
        <v>Year 3</v>
      </c>
    </row>
    <row r="16" customFormat="false" ht="15" hidden="false" customHeight="false" outlineLevel="0" collapsed="false">
      <c r="A16" s="17" t="s">
        <v>121</v>
      </c>
      <c r="B16" s="20" t="n">
        <f aca="false">Benefits!D10</f>
        <v>725727.272727273</v>
      </c>
      <c r="C16" s="14" t="s">
        <v>122</v>
      </c>
    </row>
  </sheetData>
  <mergeCells count="1">
    <mergeCell ref="A2:F2"/>
  </mergeCells>
  <conditionalFormatting sqref="B8:E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3FD6"/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4" min="4" style="1" width="36"/>
    <col collapsed="false" customWidth="true" hidden="false" outlineLevel="0" max="5" min="5" style="1" width="30"/>
    <col collapsed="false" customWidth="true" hidden="false" outlineLevel="0" max="6" min="6" style="1" width="20"/>
  </cols>
  <sheetData>
    <row r="1" customFormat="false" ht="19.7" hidden="false" customHeight="false" outlineLevel="0" collapsed="false">
      <c r="A1" s="2" t="s">
        <v>123</v>
      </c>
    </row>
    <row r="2" customFormat="false" ht="42" hidden="false" customHeight="true" outlineLevel="0" collapsed="false">
      <c r="A2" s="10" t="s">
        <v>124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11" t="s">
        <v>125</v>
      </c>
      <c r="B4" s="11" t="s">
        <v>126</v>
      </c>
      <c r="C4" s="11" t="s">
        <v>127</v>
      </c>
      <c r="D4" s="11" t="s">
        <v>128</v>
      </c>
      <c r="E4" s="11" t="s">
        <v>129</v>
      </c>
      <c r="F4" s="11" t="s">
        <v>130</v>
      </c>
    </row>
    <row r="5" customFormat="false" ht="31.5" hidden="false" customHeight="true" outlineLevel="0" collapsed="false">
      <c r="A5" s="25" t="s">
        <v>131</v>
      </c>
      <c r="B5" s="25" t="s">
        <v>132</v>
      </c>
      <c r="C5" s="25" t="s">
        <v>133</v>
      </c>
      <c r="D5" s="25" t="s">
        <v>134</v>
      </c>
      <c r="E5" s="25" t="s">
        <v>135</v>
      </c>
      <c r="F5" s="25" t="s">
        <v>136</v>
      </c>
    </row>
    <row r="6" customFormat="false" ht="31.5" hidden="false" customHeight="true" outlineLevel="0" collapsed="false">
      <c r="A6" s="25" t="s">
        <v>137</v>
      </c>
      <c r="B6" s="25" t="s">
        <v>138</v>
      </c>
      <c r="C6" s="25" t="s">
        <v>139</v>
      </c>
      <c r="D6" s="25" t="s">
        <v>140</v>
      </c>
      <c r="E6" s="25" t="s">
        <v>141</v>
      </c>
      <c r="F6" s="25" t="s">
        <v>142</v>
      </c>
    </row>
    <row r="7" customFormat="false" ht="31.5" hidden="false" customHeight="true" outlineLevel="0" collapsed="false">
      <c r="A7" s="25" t="s">
        <v>143</v>
      </c>
      <c r="B7" s="25" t="s">
        <v>144</v>
      </c>
      <c r="C7" s="25" t="s">
        <v>145</v>
      </c>
      <c r="D7" s="25" t="s">
        <v>146</v>
      </c>
      <c r="E7" s="25" t="s">
        <v>147</v>
      </c>
      <c r="F7" s="25" t="s">
        <v>142</v>
      </c>
    </row>
    <row r="8" customFormat="false" ht="15" hidden="false" customHeight="false" outlineLevel="0" collapsed="false">
      <c r="A8" s="26"/>
      <c r="B8" s="26"/>
      <c r="C8" s="26"/>
      <c r="D8" s="26"/>
      <c r="E8" s="26"/>
      <c r="F8" s="26"/>
    </row>
    <row r="9" customFormat="false" ht="15" hidden="false" customHeight="false" outlineLevel="0" collapsed="false">
      <c r="A9" s="26"/>
      <c r="B9" s="26"/>
      <c r="C9" s="26"/>
      <c r="D9" s="26"/>
      <c r="E9" s="26"/>
      <c r="F9" s="26"/>
    </row>
    <row r="10" customFormat="false" ht="15" hidden="false" customHeight="false" outlineLevel="0" collapsed="false">
      <c r="A10" s="26"/>
      <c r="B10" s="26"/>
      <c r="C10" s="26"/>
      <c r="D10" s="26"/>
      <c r="E10" s="26"/>
      <c r="F10" s="26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&amp;LShopfloor Matters · shopfloormatters.com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2026-10-28T16:29:05Z</dcterms:created>
  <dc:creator>Matt Barber, Shopfloor Matters</dc:creator>
  <dc:description/>
  <dc:language>en-US</dc:language>
  <cp:lastModifiedBy/>
  <dcterms:modified xsi:type="dcterms:W3CDTF">2026-10-28T16:29:05Z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