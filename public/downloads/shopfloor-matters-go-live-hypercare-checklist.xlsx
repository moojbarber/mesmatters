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hecklist" sheetId="2" state="visible" r:id="rId4"/>
    <sheet name="Go no-go" sheetId="3" state="visible" r:id="rId5"/>
    <sheet name="First fortnight" sheetId="4" state="visible" r:id="rId6"/>
    <sheet name="Issu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<sst xmlns="http://schemas.openxmlformats.org/spreadsheetml/2006/main" count="289" uniqueCount="141">
  <si>
    <t xml:space="preserve">Go-live and hypercare checklist</t>
  </si>
  <si>
    <t xml:space="preserve">Go-live is the starting line, not the finish. What happens in the first few weeks decides whether people trust the system.</t>
  </si>
  <si>
    <t xml:space="preserve">How to use it:</t>
  </si>
  <si>
    <t xml:space="preserve">At the start of the final phase, give every item on Checklist an owner and a due date. Review it weekly with the project team, then daily in the last fortnight.</t>
  </si>
  <si>
    <t xml:space="preserve">If something doesn't have an owner, it doesn't get done.</t>
  </si>
  <si>
    <t xml:space="preserve">Agree who makes the go / no-go call, and on what evidence, before go-live week. Not at midnight on cutover day.</t>
  </si>
  <si>
    <t xml:space="preserve">Use First fortnight to plan who is on the floor each shift, and Issue log from the first hour of production.</t>
  </si>
  <si>
    <t xml:space="preserve">Key</t>
  </si>
  <si>
    <t xml:space="preserve">Yellow cell, blue text</t>
  </si>
  <si>
    <t xml:space="preserve">Your input. Replace the example values with your own.</t>
  </si>
  <si>
    <t xml:space="preserve">Black text</t>
  </si>
  <si>
    <t xml:space="preserve">Calculated. Leave these alone.</t>
  </si>
  <si>
    <t xml:space="preserve">Green text</t>
  </si>
  <si>
    <t xml:space="preserve">Pulled from another sheet.</t>
  </si>
  <si>
    <t xml:space="preserve">Shopfloor Matters · shopfloormatters.com · Free to use and adapt. General information, not professional advice.</t>
  </si>
  <si>
    <t xml:space="preserve">Readiness checklist</t>
  </si>
  <si>
    <t xml:space="preserve">Status: Not started, In progress, Done, or N/A. The summary at the top updates as you go.</t>
  </si>
  <si>
    <t xml:space="preserve">Items</t>
  </si>
  <si>
    <t xml:space="preserve">Done</t>
  </si>
  <si>
    <t xml:space="preserve">In progress</t>
  </si>
  <si>
    <t xml:space="preserve">Not started</t>
  </si>
  <si>
    <t xml:space="preserve">N/A</t>
  </si>
  <si>
    <t xml:space="preserve">Ready (done or N/A)</t>
  </si>
  <si>
    <t xml:space="preserve">Area</t>
  </si>
  <si>
    <t xml:space="preserve">Check</t>
  </si>
  <si>
    <t xml:space="preserve">Owner</t>
  </si>
  <si>
    <t xml:space="preserve">Due</t>
  </si>
  <si>
    <t xml:space="preserve">Status</t>
  </si>
  <si>
    <t xml:space="preserve">Evidence / notes</t>
  </si>
  <si>
    <t xml:space="preserve">Must-have?</t>
  </si>
  <si>
    <t xml:space="preserve">Scope and sign-off</t>
  </si>
  <si>
    <t xml:space="preserve">Go-live scope frozen and signed off: lines, processes, users and shifts</t>
  </si>
  <si>
    <t xml:space="preserve">Yes</t>
  </si>
  <si>
    <t xml:space="preserve">To-be processes signed off by their owners</t>
  </si>
  <si>
    <t xml:space="preserve">Open change requests decided: in, deferred or rejected, with a reason</t>
  </si>
  <si>
    <t xml:space="preserve">Go / no-go decision-maker and criteria agreed in writing</t>
  </si>
  <si>
    <t xml:space="preserve">Master data</t>
  </si>
  <si>
    <t xml:space="preserve">Materials, BOMs, routings and work centres checked against the shopfloor</t>
  </si>
  <si>
    <t xml:space="preserve">Routings use real cycle times, not planning estimates</t>
  </si>
  <si>
    <t xml:space="preserve">Opening stock and WIP counted and loaded</t>
  </si>
  <si>
    <t xml:space="preserve">Users, roles and skills loaded and access tested for each role</t>
  </si>
  <si>
    <t xml:space="preserve">Quality plans, specs and limits loaded and checked by quality</t>
  </si>
  <si>
    <t xml:space="preserve">Downtime and scrap reason codes agreed. Short lists people will use</t>
  </si>
  <si>
    <t xml:space="preserve">Every label template printed on the real printers and scanned</t>
  </si>
  <si>
    <t xml:space="preserve">Integration</t>
  </si>
  <si>
    <t xml:space="preserve">ERP orders down and confirmations up, tested end to end with realistic volumes</t>
  </si>
  <si>
    <t xml:space="preserve">Exceptions tested: changed orders, quantity differences, duplicate messages</t>
  </si>
  <si>
    <t xml:space="preserve">Interface monitoring live, with a named owner for failed messages</t>
  </si>
  <si>
    <t xml:space="preserve">Machine connectivity validated machine by machine against what the machine did</t>
  </si>
  <si>
    <t xml:space="preserve">Recovery after a network drop tested. Nothing lost or duplicated</t>
  </si>
  <si>
    <t xml:space="preserve">Testing</t>
  </si>
  <si>
    <t xml:space="preserve">User acceptance signed off by operational users, including edge cases</t>
  </si>
  <si>
    <t xml:space="preserve">Performance tested at the busiest shift, not a quiet afternoon</t>
  </si>
  <si>
    <t xml:space="preserve">Site acceptance on the real shopfloor: real devices, real network, real gloves</t>
  </si>
  <si>
    <t xml:space="preserve">Cutover rehearsed end to end, with timings</t>
  </si>
  <si>
    <t xml:space="preserve">No severity 1 or 2 defects open. Workarounds written for the rest</t>
  </si>
  <si>
    <t xml:space="preserve">Devices and infrastructure</t>
  </si>
  <si>
    <t xml:space="preserve">Production environment sized, secured, backed up and monitored</t>
  </si>
  <si>
    <t xml:space="preserve">Every device installed and tested at the point of use</t>
  </si>
  <si>
    <t xml:space="preserve">Wi-Fi coverage tested everywhere it's needed, including the far corners</t>
  </si>
  <si>
    <t xml:space="preserve">Backup and restore actually tested</t>
  </si>
  <si>
    <t xml:space="preserve">Spare devices on hand</t>
  </si>
  <si>
    <t xml:space="preserve">People and training</t>
  </si>
  <si>
    <t xml:space="preserve">Super users trained deeply and released from their day job for hypercare</t>
  </si>
  <si>
    <t xml:space="preserve">Every operator on every shift trained hands-on, nights and weekends included</t>
  </si>
  <si>
    <t xml:space="preserve">Training and quick guides in the languages people speak</t>
  </si>
  <si>
    <t xml:space="preserve">Supervisors trained on dashboards, approvals and deviations</t>
  </si>
  <si>
    <t xml:space="preserve">Administrators able to make small configuration changes</t>
  </si>
  <si>
    <t xml:space="preserve">What changes explained role by role, not as 'digital transformation'</t>
  </si>
  <si>
    <t xml:space="preserve">Known concerns heard and answered, with the sponsor visibly backing it</t>
  </si>
  <si>
    <t xml:space="preserve">Hypercare and support</t>
  </si>
  <si>
    <t xml:space="preserve">Hypercare plan: how long, who's on the floor each shift, where the war room is</t>
  </si>
  <si>
    <t xml:space="preserve">Vendor or partner support booked, with people who know your configuration</t>
  </si>
  <si>
    <t xml:space="preserve">One issue log, agreed severity definitions and a daily triage time</t>
  </si>
  <si>
    <t xml:space="preserve">Escalation path published</t>
  </si>
  <si>
    <t xml:space="preserve">Hypercare exit criteria agreed, so it ends on evidence, not a date</t>
  </si>
  <si>
    <t xml:space="preserve">Cutover and rollback</t>
  </si>
  <si>
    <t xml:space="preserve">Cutover plan written hour by hour, with owners</t>
  </si>
  <si>
    <t xml:space="preserve">Cutover timed for a quieter period, not month end or peak season</t>
  </si>
  <si>
    <t xml:space="preserve">Decision made on in-flight orders: finish the old way or migrate</t>
  </si>
  <si>
    <t xml:space="preserve">Production plan eased for the first days</t>
  </si>
  <si>
    <t xml:space="preserve">Rollback criteria, deadline and procedure agreed and rehearsed</t>
  </si>
  <si>
    <t xml:space="preserve">Paper forms or the old system ready for the fallback period</t>
  </si>
  <si>
    <t xml:space="preserve">KPIs and communication</t>
  </si>
  <si>
    <t xml:space="preserve">Baseline KPIs captured before go-live, using fixed definitions</t>
  </si>
  <si>
    <t xml:space="preserve">Morning meeting dashboard ready for day one</t>
  </si>
  <si>
    <t xml:space="preserve">Every shift briefed in person on what changes and who to call</t>
  </si>
  <si>
    <t xml:space="preserve">Leadership told what week one looks like: slower and messier at first</t>
  </si>
  <si>
    <t xml:space="preserve">Benefits tracking owner and review dates set</t>
  </si>
  <si>
    <t xml:space="preserve">Go / no-go decision</t>
  </si>
  <si>
    <t xml:space="preserve">Run this at the go / no-go meeting with the sponsor in the room. Every line needs evidence, not a feeling.</t>
  </si>
  <si>
    <t xml:space="preserve">Question</t>
  </si>
  <si>
    <t xml:space="preserve">Yes / No</t>
  </si>
  <si>
    <t xml:space="preserve">Evidence</t>
  </si>
  <si>
    <t xml:space="preserve">Who confirmed</t>
  </si>
  <si>
    <t xml:space="preserve">Any must-have items on Checklist not done?</t>
  </si>
  <si>
    <t xml:space="preserve">Any severity 1 or 2 defects open?</t>
  </si>
  <si>
    <t xml:space="preserve">Acceptance signed off by operational users?</t>
  </si>
  <si>
    <t xml:space="preserve">Cutover rehearsal completed inside the window?</t>
  </si>
  <si>
    <t xml:space="preserve">Master data and opening stock spot-checked in the last 48 hours?</t>
  </si>
  <si>
    <t xml:space="preserve">Every go-live shift trained, with super users rostered?</t>
  </si>
  <si>
    <t xml:space="preserve">Hypercare and vendor support confirmed, with names?</t>
  </si>
  <si>
    <t xml:space="preserve">Rollback ready, with a decision point agreed?</t>
  </si>
  <si>
    <t xml:space="preserve">Baseline KPIs captured?</t>
  </si>
  <si>
    <t xml:space="preserve">Must-have items on Checklist not yet done or N/A</t>
  </si>
  <si>
    <t xml:space="preserve">Suggested call</t>
  </si>
  <si>
    <t xml:space="preserve">Decision (Go / Go with conditions / No-go)</t>
  </si>
  <si>
    <t xml:space="preserve">Conditions, owners and dates</t>
  </si>
  <si>
    <t xml:space="preserve">Signed by the sponsor, and date</t>
  </si>
  <si>
    <t xml:space="preserve">A delayed go-live is uncomfortable for a week. A failed one costs you the operators' trust for months.</t>
  </si>
  <si>
    <t xml:space="preserve">The first fortnight on the floor</t>
  </si>
  <si>
    <t xml:space="preserve">Who is where, every shift. Leaders on the shopfloor, not in the war room.</t>
  </si>
  <si>
    <t xml:space="preserve">When</t>
  </si>
  <si>
    <t xml:space="preserve">Focus</t>
  </si>
  <si>
    <t xml:space="preserve">Day shift</t>
  </si>
  <si>
    <t xml:space="preserve">Back shift</t>
  </si>
  <si>
    <t xml:space="preserve">Night shift</t>
  </si>
  <si>
    <t xml:space="preserve">Done?</t>
  </si>
  <si>
    <t xml:space="preserve">Cutover</t>
  </si>
  <si>
    <t xml:space="preserve">Run the rehearsed plan. First order released, first label printed, first confirmation in ERP.</t>
  </si>
  <si>
    <t xml:space="preserve">Day 1</t>
  </si>
  <si>
    <t xml:space="preserve">Super users and project team on every shift, visible. Log every issue, however small. Fix quick ones the same day.</t>
  </si>
  <si>
    <t xml:space="preserve">Days 2 and 3</t>
  </si>
  <si>
    <t xml:space="preserve">Daily triage of the issue log. Watch the interfaces under real load, and night shift especially.</t>
  </si>
  <si>
    <t xml:space="preserve">Days 4 and 5</t>
  </si>
  <si>
    <t xml:space="preserve">Close the issues that erode trust first. Tell the floor what's been fixed.</t>
  </si>
  <si>
    <t xml:space="preserve">End of week 1</t>
  </si>
  <si>
    <t xml:space="preserve">Review against exit criteria. Celebrate the first wins. Honest update to the steering group and the floor.</t>
  </si>
  <si>
    <t xml:space="preserve">Week 2</t>
  </si>
  <si>
    <t xml:space="preserve">Fewer people on the floor if the log allows. Check the first reports against reality.</t>
  </si>
  <si>
    <t xml:space="preserve">End of week 2</t>
  </si>
  <si>
    <t xml:space="preserve">Exit hypercare on evidence, or extend it on purpose. Start comparing KPIs with the baseline.</t>
  </si>
  <si>
    <t xml:space="preserve">Hypercare issue log</t>
  </si>
  <si>
    <t xml:space="preserve">One place for every issue. Severity 1 stops production, 2 has a painful workaround, 3 is an annoyance, 4 is a request.</t>
  </si>
  <si>
    <t xml:space="preserve">#</t>
  </si>
  <si>
    <t xml:space="preserve">Raised</t>
  </si>
  <si>
    <t xml:space="preserve">Line / area</t>
  </si>
  <si>
    <t xml:space="preserve">Shift</t>
  </si>
  <si>
    <t xml:space="preserve">What happened</t>
  </si>
  <si>
    <t xml:space="preserve">Severity</t>
  </si>
  <si>
    <t xml:space="preserve">Fix and 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</si>
</sst>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;\(0.0%\);\-"/>
    <numFmt numFmtId="167" formatCode="dd\ mmm\ yyyy"/>
    <numFmt numFmtId="168" formatCode="dd\ mmm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64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BF"/>
        <bgColor rgb="FFFFE8B5"/>
      </patternFill>
    </fill>
    <fill>
      <patternFill patternType="solid">
        <fgColor rgb="FFDDF5F7"/>
        <bgColor rgb="FFCCFFFF"/>
      </patternFill>
    </fill>
    <fill>
      <patternFill patternType="solid">
        <fgColor rgb="FF5B3FD6"/>
        <bgColor rgb="FF3366FF"/>
      </patternFill>
    </fill>
    <fill>
      <patternFill patternType="solid">
        <fgColor rgb="FFE9E5FB"/>
        <bgColor rgb="FFDD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B9F0C9"/>
        </patternFill>
      </fill>
    </dxf>
    <dxf>
      <fill>
        <patternFill>
          <bgColor rgb="FFFFE8B5"/>
        </patternFill>
      </fill>
    </dxf>
    <dxf>
      <fill>
        <patternFill>
          <bgColor rgb="FFFAD4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BF"/>
      <rgbColor rgb="FFDDF5F7"/>
      <rgbColor rgb="FF660066"/>
      <rgbColor rgb="FFFF8080"/>
      <rgbColor rgb="FF0066CC"/>
      <rgbColor rgb="FFE9E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9F0C9"/>
      <rgbColor rgb="FFFFE8B5"/>
      <rgbColor rgb="FF99CCFF"/>
      <rgbColor rgb="FFFF99CC"/>
      <rgbColor rgb="FFCC99FF"/>
      <rgbColor rgb="FFFAD4D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3FD6"/>
      <rgbColor rgb="FF1A1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</row>
    <row r="6" customFormat="false" ht="15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</row>
    <row r="7" customFormat="false" ht="30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  <c r="B11" s="6" t="s">
        <v>9</v>
      </c>
    </row>
    <row r="12" customFormat="false" ht="15" hidden="false" customHeight="false" outlineLevel="0" collapsed="false">
      <c r="A12" s="6" t="s">
        <v>10</v>
      </c>
      <c r="B12" s="6" t="s">
        <v>11</v>
      </c>
    </row>
    <row r="13" customFormat="false" ht="15" hidden="false" customHeight="false" outlineLevel="0" collapsed="false">
      <c r="A13" s="7" t="s">
        <v>12</v>
      </c>
      <c r="B13" s="6" t="s">
        <v>13</v>
      </c>
    </row>
    <row r="15" customFormat="false" ht="15" hidden="false" customHeight="false" outlineLevel="0" collapsed="false">
      <c r="A15" s="8" t="s">
        <v>14</v>
      </c>
    </row>
  </sheetData>
  <mergeCells count="6">
    <mergeCell ref="A3:H3"/>
    <mergeCell ref="A4:H4"/>
    <mergeCell ref="A5:H5"/>
    <mergeCell ref="A6:H6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" t="s">
        <v>15</v>
      </c>
    </row>
    <row r="2" customFormat="false" ht="42" hidden="false" customHeight="true" outlineLevel="0" collapsed="false">
      <c r="A2" s="9" t="s">
        <v>16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A4" s="10" t="s">
        <v>17</v>
      </c>
      <c r="B4" s="10" t="n">
        <v>49</v>
      </c>
      <c r="C4" s="10" t="s">
        <v>18</v>
      </c>
      <c r="D4" s="11" t="n">
        <f aca="false">COUNTIF($E$8:$E$65,"Done")</f>
        <v>0</v>
      </c>
      <c r="E4" s="10" t="s">
        <v>19</v>
      </c>
      <c r="F4" s="11" t="n">
        <f aca="false">COUNTIF($E$8:$E$65,"In progress")</f>
        <v>0</v>
      </c>
      <c r="G4" s="10" t="s">
        <v>20</v>
      </c>
      <c r="H4" s="11" t="n">
        <f aca="false">COUNTIF($E$8:$E$65,"Not started")</f>
        <v>49</v>
      </c>
      <c r="I4" s="10" t="s">
        <v>21</v>
      </c>
      <c r="J4" s="11" t="n">
        <f aca="false">COUNTIF($E$8:$E$65,"N/A")</f>
        <v>0</v>
      </c>
    </row>
    <row r="5" customFormat="false" ht="15" hidden="false" customHeight="false" outlineLevel="0" collapsed="false">
      <c r="A5" s="10" t="s">
        <v>22</v>
      </c>
      <c r="B5" s="12" t="n">
        <f aca="false">IF(B4=0,0,(D4+J4)/B4)</f>
        <v>0</v>
      </c>
    </row>
    <row r="7" customFormat="false" ht="26.85" hidden="false" customHeight="false" outlineLevel="0" collapsed="false">
      <c r="A7" s="13" t="s">
        <v>23</v>
      </c>
      <c r="B7" s="13" t="s">
        <v>24</v>
      </c>
      <c r="C7" s="13" t="s">
        <v>25</v>
      </c>
      <c r="D7" s="13" t="s">
        <v>26</v>
      </c>
      <c r="E7" s="13" t="s">
        <v>27</v>
      </c>
      <c r="F7" s="13" t="s">
        <v>28</v>
      </c>
      <c r="G7" s="13" t="s">
        <v>29</v>
      </c>
    </row>
    <row r="8" customFormat="false" ht="15" hidden="false" customHeight="false" outlineLevel="0" collapsed="false">
      <c r="A8" s="14" t="s">
        <v>30</v>
      </c>
      <c r="B8" s="15"/>
      <c r="C8" s="15"/>
      <c r="D8" s="15"/>
      <c r="E8" s="15"/>
      <c r="F8" s="15"/>
      <c r="G8" s="15"/>
    </row>
    <row r="9" customFormat="false" ht="27.75" hidden="false" customHeight="true" outlineLevel="0" collapsed="false">
      <c r="A9" s="16" t="s">
        <v>30</v>
      </c>
      <c r="B9" s="17" t="s">
        <v>31</v>
      </c>
      <c r="C9" s="18"/>
      <c r="D9" s="19"/>
      <c r="E9" s="18" t="s">
        <v>20</v>
      </c>
      <c r="F9" s="18"/>
      <c r="G9" s="18" t="s">
        <v>32</v>
      </c>
    </row>
    <row r="10" customFormat="false" ht="27.75" hidden="false" customHeight="true" outlineLevel="0" collapsed="false">
      <c r="A10" s="16" t="s">
        <v>30</v>
      </c>
      <c r="B10" s="17" t="s">
        <v>33</v>
      </c>
      <c r="C10" s="18"/>
      <c r="D10" s="19"/>
      <c r="E10" s="18" t="s">
        <v>20</v>
      </c>
      <c r="F10" s="18"/>
      <c r="G10" s="18" t="s">
        <v>32</v>
      </c>
    </row>
    <row r="11" customFormat="false" ht="27.75" hidden="false" customHeight="true" outlineLevel="0" collapsed="false">
      <c r="A11" s="16" t="s">
        <v>30</v>
      </c>
      <c r="B11" s="17" t="s">
        <v>34</v>
      </c>
      <c r="C11" s="18"/>
      <c r="D11" s="19"/>
      <c r="E11" s="18" t="s">
        <v>20</v>
      </c>
      <c r="F11" s="18"/>
      <c r="G11" s="18" t="s">
        <v>32</v>
      </c>
    </row>
    <row r="12" customFormat="false" ht="27.75" hidden="false" customHeight="true" outlineLevel="0" collapsed="false">
      <c r="A12" s="16" t="s">
        <v>30</v>
      </c>
      <c r="B12" s="17" t="s">
        <v>35</v>
      </c>
      <c r="C12" s="18"/>
      <c r="D12" s="19"/>
      <c r="E12" s="18" t="s">
        <v>20</v>
      </c>
      <c r="F12" s="18"/>
      <c r="G12" s="18" t="s">
        <v>32</v>
      </c>
    </row>
    <row r="13" customFormat="false" ht="15" hidden="false" customHeight="false" outlineLevel="0" collapsed="false">
      <c r="A13" s="14" t="s">
        <v>36</v>
      </c>
      <c r="B13" s="15"/>
      <c r="C13" s="15"/>
      <c r="D13" s="15"/>
      <c r="E13" s="15"/>
      <c r="F13" s="15"/>
      <c r="G13" s="15"/>
    </row>
    <row r="14" customFormat="false" ht="27.75" hidden="false" customHeight="true" outlineLevel="0" collapsed="false">
      <c r="A14" s="16" t="s">
        <v>36</v>
      </c>
      <c r="B14" s="17" t="s">
        <v>37</v>
      </c>
      <c r="C14" s="18"/>
      <c r="D14" s="19"/>
      <c r="E14" s="18" t="s">
        <v>20</v>
      </c>
      <c r="F14" s="18"/>
      <c r="G14" s="18" t="s">
        <v>32</v>
      </c>
    </row>
    <row r="15" customFormat="false" ht="27.75" hidden="false" customHeight="true" outlineLevel="0" collapsed="false">
      <c r="A15" s="16" t="s">
        <v>36</v>
      </c>
      <c r="B15" s="17" t="s">
        <v>38</v>
      </c>
      <c r="C15" s="18"/>
      <c r="D15" s="19"/>
      <c r="E15" s="18" t="s">
        <v>20</v>
      </c>
      <c r="F15" s="18"/>
      <c r="G15" s="18" t="s">
        <v>32</v>
      </c>
    </row>
    <row r="16" customFormat="false" ht="27.75" hidden="false" customHeight="true" outlineLevel="0" collapsed="false">
      <c r="A16" s="16" t="s">
        <v>36</v>
      </c>
      <c r="B16" s="17" t="s">
        <v>39</v>
      </c>
      <c r="C16" s="18"/>
      <c r="D16" s="19"/>
      <c r="E16" s="18" t="s">
        <v>20</v>
      </c>
      <c r="F16" s="18"/>
      <c r="G16" s="18" t="s">
        <v>32</v>
      </c>
    </row>
    <row r="17" customFormat="false" ht="27.75" hidden="false" customHeight="true" outlineLevel="0" collapsed="false">
      <c r="A17" s="16" t="s">
        <v>36</v>
      </c>
      <c r="B17" s="17" t="s">
        <v>40</v>
      </c>
      <c r="C17" s="18"/>
      <c r="D17" s="19"/>
      <c r="E17" s="18" t="s">
        <v>20</v>
      </c>
      <c r="F17" s="18"/>
      <c r="G17" s="18" t="s">
        <v>32</v>
      </c>
    </row>
    <row r="18" customFormat="false" ht="27.75" hidden="false" customHeight="true" outlineLevel="0" collapsed="false">
      <c r="A18" s="16" t="s">
        <v>36</v>
      </c>
      <c r="B18" s="17" t="s">
        <v>41</v>
      </c>
      <c r="C18" s="18"/>
      <c r="D18" s="19"/>
      <c r="E18" s="18" t="s">
        <v>20</v>
      </c>
      <c r="F18" s="18"/>
      <c r="G18" s="18" t="s">
        <v>32</v>
      </c>
    </row>
    <row r="19" customFormat="false" ht="27.75" hidden="false" customHeight="true" outlineLevel="0" collapsed="false">
      <c r="A19" s="16" t="s">
        <v>36</v>
      </c>
      <c r="B19" s="17" t="s">
        <v>42</v>
      </c>
      <c r="C19" s="18"/>
      <c r="D19" s="19"/>
      <c r="E19" s="18" t="s">
        <v>20</v>
      </c>
      <c r="F19" s="18"/>
      <c r="G19" s="18" t="s">
        <v>32</v>
      </c>
    </row>
    <row r="20" customFormat="false" ht="27.75" hidden="false" customHeight="true" outlineLevel="0" collapsed="false">
      <c r="A20" s="16" t="s">
        <v>36</v>
      </c>
      <c r="B20" s="17" t="s">
        <v>43</v>
      </c>
      <c r="C20" s="18"/>
      <c r="D20" s="19"/>
      <c r="E20" s="18" t="s">
        <v>20</v>
      </c>
      <c r="F20" s="18"/>
      <c r="G20" s="18" t="s">
        <v>32</v>
      </c>
    </row>
    <row r="21" customFormat="false" ht="15" hidden="false" customHeight="false" outlineLevel="0" collapsed="false">
      <c r="A21" s="14" t="s">
        <v>44</v>
      </c>
      <c r="B21" s="15"/>
      <c r="C21" s="15"/>
      <c r="D21" s="15"/>
      <c r="E21" s="15"/>
      <c r="F21" s="15"/>
      <c r="G21" s="15"/>
    </row>
    <row r="22" customFormat="false" ht="27.75" hidden="false" customHeight="true" outlineLevel="0" collapsed="false">
      <c r="A22" s="16" t="s">
        <v>44</v>
      </c>
      <c r="B22" s="17" t="s">
        <v>45</v>
      </c>
      <c r="C22" s="18"/>
      <c r="D22" s="19"/>
      <c r="E22" s="18" t="s">
        <v>20</v>
      </c>
      <c r="F22" s="18"/>
      <c r="G22" s="18" t="s">
        <v>32</v>
      </c>
    </row>
    <row r="23" customFormat="false" ht="27.75" hidden="false" customHeight="true" outlineLevel="0" collapsed="false">
      <c r="A23" s="16" t="s">
        <v>44</v>
      </c>
      <c r="B23" s="17" t="s">
        <v>46</v>
      </c>
      <c r="C23" s="18"/>
      <c r="D23" s="19"/>
      <c r="E23" s="18" t="s">
        <v>20</v>
      </c>
      <c r="F23" s="18"/>
      <c r="G23" s="18" t="s">
        <v>32</v>
      </c>
    </row>
    <row r="24" customFormat="false" ht="27.75" hidden="false" customHeight="true" outlineLevel="0" collapsed="false">
      <c r="A24" s="16" t="s">
        <v>44</v>
      </c>
      <c r="B24" s="17" t="s">
        <v>47</v>
      </c>
      <c r="C24" s="18"/>
      <c r="D24" s="19"/>
      <c r="E24" s="18" t="s">
        <v>20</v>
      </c>
      <c r="F24" s="18"/>
      <c r="G24" s="18" t="s">
        <v>32</v>
      </c>
    </row>
    <row r="25" customFormat="false" ht="27.75" hidden="false" customHeight="true" outlineLevel="0" collapsed="false">
      <c r="A25" s="16" t="s">
        <v>44</v>
      </c>
      <c r="B25" s="17" t="s">
        <v>48</v>
      </c>
      <c r="C25" s="18"/>
      <c r="D25" s="19"/>
      <c r="E25" s="18" t="s">
        <v>20</v>
      </c>
      <c r="F25" s="18"/>
      <c r="G25" s="18" t="s">
        <v>32</v>
      </c>
    </row>
    <row r="26" customFormat="false" ht="27.75" hidden="false" customHeight="true" outlineLevel="0" collapsed="false">
      <c r="A26" s="16" t="s">
        <v>44</v>
      </c>
      <c r="B26" s="17" t="s">
        <v>49</v>
      </c>
      <c r="C26" s="18"/>
      <c r="D26" s="19"/>
      <c r="E26" s="18" t="s">
        <v>20</v>
      </c>
      <c r="F26" s="18"/>
      <c r="G26" s="18" t="s">
        <v>32</v>
      </c>
    </row>
    <row r="27" customFormat="false" ht="15" hidden="false" customHeight="false" outlineLevel="0" collapsed="false">
      <c r="A27" s="14" t="s">
        <v>50</v>
      </c>
      <c r="B27" s="15"/>
      <c r="C27" s="15"/>
      <c r="D27" s="15"/>
      <c r="E27" s="15"/>
      <c r="F27" s="15"/>
      <c r="G27" s="15"/>
    </row>
    <row r="28" customFormat="false" ht="27.75" hidden="false" customHeight="true" outlineLevel="0" collapsed="false">
      <c r="A28" s="16" t="s">
        <v>50</v>
      </c>
      <c r="B28" s="17" t="s">
        <v>51</v>
      </c>
      <c r="C28" s="18"/>
      <c r="D28" s="19"/>
      <c r="E28" s="18" t="s">
        <v>20</v>
      </c>
      <c r="F28" s="18"/>
      <c r="G28" s="18" t="s">
        <v>32</v>
      </c>
    </row>
    <row r="29" customFormat="false" ht="27.75" hidden="false" customHeight="true" outlineLevel="0" collapsed="false">
      <c r="A29" s="16" t="s">
        <v>50</v>
      </c>
      <c r="B29" s="17" t="s">
        <v>52</v>
      </c>
      <c r="C29" s="18"/>
      <c r="D29" s="19"/>
      <c r="E29" s="18" t="s">
        <v>20</v>
      </c>
      <c r="F29" s="18"/>
      <c r="G29" s="18" t="s">
        <v>32</v>
      </c>
    </row>
    <row r="30" customFormat="false" ht="27.75" hidden="false" customHeight="true" outlineLevel="0" collapsed="false">
      <c r="A30" s="16" t="s">
        <v>50</v>
      </c>
      <c r="B30" s="17" t="s">
        <v>53</v>
      </c>
      <c r="C30" s="18"/>
      <c r="D30" s="19"/>
      <c r="E30" s="18" t="s">
        <v>20</v>
      </c>
      <c r="F30" s="18"/>
      <c r="G30" s="18" t="s">
        <v>32</v>
      </c>
    </row>
    <row r="31" customFormat="false" ht="27.75" hidden="false" customHeight="true" outlineLevel="0" collapsed="false">
      <c r="A31" s="16" t="s">
        <v>50</v>
      </c>
      <c r="B31" s="17" t="s">
        <v>54</v>
      </c>
      <c r="C31" s="18"/>
      <c r="D31" s="19"/>
      <c r="E31" s="18" t="s">
        <v>20</v>
      </c>
      <c r="F31" s="18"/>
      <c r="G31" s="18" t="s">
        <v>32</v>
      </c>
    </row>
    <row r="32" customFormat="false" ht="27.75" hidden="false" customHeight="true" outlineLevel="0" collapsed="false">
      <c r="A32" s="16" t="s">
        <v>50</v>
      </c>
      <c r="B32" s="17" t="s">
        <v>55</v>
      </c>
      <c r="C32" s="18"/>
      <c r="D32" s="19"/>
      <c r="E32" s="18" t="s">
        <v>20</v>
      </c>
      <c r="F32" s="18"/>
      <c r="G32" s="18" t="s">
        <v>32</v>
      </c>
    </row>
    <row r="33" customFormat="false" ht="15" hidden="false" customHeight="false" outlineLevel="0" collapsed="false">
      <c r="A33" s="14" t="s">
        <v>56</v>
      </c>
      <c r="B33" s="15"/>
      <c r="C33" s="15"/>
      <c r="D33" s="15"/>
      <c r="E33" s="15"/>
      <c r="F33" s="15"/>
      <c r="G33" s="15"/>
    </row>
    <row r="34" customFormat="false" ht="27.75" hidden="false" customHeight="true" outlineLevel="0" collapsed="false">
      <c r="A34" s="16" t="s">
        <v>56</v>
      </c>
      <c r="B34" s="17" t="s">
        <v>57</v>
      </c>
      <c r="C34" s="18"/>
      <c r="D34" s="19"/>
      <c r="E34" s="18" t="s">
        <v>20</v>
      </c>
      <c r="F34" s="18"/>
      <c r="G34" s="18" t="s">
        <v>32</v>
      </c>
    </row>
    <row r="35" customFormat="false" ht="27.75" hidden="false" customHeight="true" outlineLevel="0" collapsed="false">
      <c r="A35" s="16" t="s">
        <v>56</v>
      </c>
      <c r="B35" s="17" t="s">
        <v>58</v>
      </c>
      <c r="C35" s="18"/>
      <c r="D35" s="19"/>
      <c r="E35" s="18" t="s">
        <v>20</v>
      </c>
      <c r="F35" s="18"/>
      <c r="G35" s="18" t="s">
        <v>32</v>
      </c>
    </row>
    <row r="36" customFormat="false" ht="27.75" hidden="false" customHeight="true" outlineLevel="0" collapsed="false">
      <c r="A36" s="16" t="s">
        <v>56</v>
      </c>
      <c r="B36" s="17" t="s">
        <v>59</v>
      </c>
      <c r="C36" s="18"/>
      <c r="D36" s="19"/>
      <c r="E36" s="18" t="s">
        <v>20</v>
      </c>
      <c r="F36" s="18"/>
      <c r="G36" s="18" t="s">
        <v>32</v>
      </c>
    </row>
    <row r="37" customFormat="false" ht="27.75" hidden="false" customHeight="true" outlineLevel="0" collapsed="false">
      <c r="A37" s="16" t="s">
        <v>56</v>
      </c>
      <c r="B37" s="17" t="s">
        <v>60</v>
      </c>
      <c r="C37" s="18"/>
      <c r="D37" s="19"/>
      <c r="E37" s="18" t="s">
        <v>20</v>
      </c>
      <c r="F37" s="18"/>
      <c r="G37" s="18" t="s">
        <v>32</v>
      </c>
    </row>
    <row r="38" customFormat="false" ht="27.75" hidden="false" customHeight="true" outlineLevel="0" collapsed="false">
      <c r="A38" s="16" t="s">
        <v>56</v>
      </c>
      <c r="B38" s="17" t="s">
        <v>61</v>
      </c>
      <c r="C38" s="18"/>
      <c r="D38" s="19"/>
      <c r="E38" s="18" t="s">
        <v>20</v>
      </c>
      <c r="F38" s="18"/>
      <c r="G38" s="18" t="s">
        <v>32</v>
      </c>
    </row>
    <row r="39" customFormat="false" ht="15" hidden="false" customHeight="false" outlineLevel="0" collapsed="false">
      <c r="A39" s="14" t="s">
        <v>62</v>
      </c>
      <c r="B39" s="15"/>
      <c r="C39" s="15"/>
      <c r="D39" s="15"/>
      <c r="E39" s="15"/>
      <c r="F39" s="15"/>
      <c r="G39" s="15"/>
    </row>
    <row r="40" customFormat="false" ht="27.75" hidden="false" customHeight="true" outlineLevel="0" collapsed="false">
      <c r="A40" s="16" t="s">
        <v>62</v>
      </c>
      <c r="B40" s="17" t="s">
        <v>63</v>
      </c>
      <c r="C40" s="18"/>
      <c r="D40" s="19"/>
      <c r="E40" s="18" t="s">
        <v>20</v>
      </c>
      <c r="F40" s="18"/>
      <c r="G40" s="18" t="s">
        <v>32</v>
      </c>
    </row>
    <row r="41" customFormat="false" ht="27.75" hidden="false" customHeight="true" outlineLevel="0" collapsed="false">
      <c r="A41" s="16" t="s">
        <v>62</v>
      </c>
      <c r="B41" s="17" t="s">
        <v>64</v>
      </c>
      <c r="C41" s="18"/>
      <c r="D41" s="19"/>
      <c r="E41" s="18" t="s">
        <v>20</v>
      </c>
      <c r="F41" s="18"/>
      <c r="G41" s="18" t="s">
        <v>32</v>
      </c>
    </row>
    <row r="42" customFormat="false" ht="27.75" hidden="false" customHeight="true" outlineLevel="0" collapsed="false">
      <c r="A42" s="16" t="s">
        <v>62</v>
      </c>
      <c r="B42" s="17" t="s">
        <v>65</v>
      </c>
      <c r="C42" s="18"/>
      <c r="D42" s="19"/>
      <c r="E42" s="18" t="s">
        <v>20</v>
      </c>
      <c r="F42" s="18"/>
      <c r="G42" s="18" t="s">
        <v>32</v>
      </c>
    </row>
    <row r="43" customFormat="false" ht="27.75" hidden="false" customHeight="true" outlineLevel="0" collapsed="false">
      <c r="A43" s="16" t="s">
        <v>62</v>
      </c>
      <c r="B43" s="17" t="s">
        <v>66</v>
      </c>
      <c r="C43" s="18"/>
      <c r="D43" s="19"/>
      <c r="E43" s="18" t="s">
        <v>20</v>
      </c>
      <c r="F43" s="18"/>
      <c r="G43" s="18" t="s">
        <v>32</v>
      </c>
    </row>
    <row r="44" customFormat="false" ht="27.75" hidden="false" customHeight="true" outlineLevel="0" collapsed="false">
      <c r="A44" s="16" t="s">
        <v>62</v>
      </c>
      <c r="B44" s="17" t="s">
        <v>67</v>
      </c>
      <c r="C44" s="18"/>
      <c r="D44" s="19"/>
      <c r="E44" s="18" t="s">
        <v>20</v>
      </c>
      <c r="F44" s="18"/>
      <c r="G44" s="18" t="s">
        <v>32</v>
      </c>
    </row>
    <row r="45" customFormat="false" ht="27.75" hidden="false" customHeight="true" outlineLevel="0" collapsed="false">
      <c r="A45" s="16" t="s">
        <v>62</v>
      </c>
      <c r="B45" s="17" t="s">
        <v>68</v>
      </c>
      <c r="C45" s="18"/>
      <c r="D45" s="19"/>
      <c r="E45" s="18" t="s">
        <v>20</v>
      </c>
      <c r="F45" s="18"/>
      <c r="G45" s="18" t="s">
        <v>32</v>
      </c>
    </row>
    <row r="46" customFormat="false" ht="27.75" hidden="false" customHeight="true" outlineLevel="0" collapsed="false">
      <c r="A46" s="16" t="s">
        <v>62</v>
      </c>
      <c r="B46" s="17" t="s">
        <v>69</v>
      </c>
      <c r="C46" s="18"/>
      <c r="D46" s="19"/>
      <c r="E46" s="18" t="s">
        <v>20</v>
      </c>
      <c r="F46" s="18"/>
      <c r="G46" s="18" t="s">
        <v>32</v>
      </c>
    </row>
    <row r="47" customFormat="false" ht="15" hidden="false" customHeight="false" outlineLevel="0" collapsed="false">
      <c r="A47" s="14" t="s">
        <v>70</v>
      </c>
      <c r="B47" s="15"/>
      <c r="C47" s="15"/>
      <c r="D47" s="15"/>
      <c r="E47" s="15"/>
      <c r="F47" s="15"/>
      <c r="G47" s="15"/>
    </row>
    <row r="48" customFormat="false" ht="27.75" hidden="false" customHeight="true" outlineLevel="0" collapsed="false">
      <c r="A48" s="16" t="s">
        <v>70</v>
      </c>
      <c r="B48" s="17" t="s">
        <v>71</v>
      </c>
      <c r="C48" s="18"/>
      <c r="D48" s="19"/>
      <c r="E48" s="18" t="s">
        <v>20</v>
      </c>
      <c r="F48" s="18"/>
      <c r="G48" s="18" t="s">
        <v>32</v>
      </c>
    </row>
    <row r="49" customFormat="false" ht="27.75" hidden="false" customHeight="true" outlineLevel="0" collapsed="false">
      <c r="A49" s="16" t="s">
        <v>70</v>
      </c>
      <c r="B49" s="17" t="s">
        <v>72</v>
      </c>
      <c r="C49" s="18"/>
      <c r="D49" s="19"/>
      <c r="E49" s="18" t="s">
        <v>20</v>
      </c>
      <c r="F49" s="18"/>
      <c r="G49" s="18" t="s">
        <v>32</v>
      </c>
    </row>
    <row r="50" customFormat="false" ht="27.75" hidden="false" customHeight="true" outlineLevel="0" collapsed="false">
      <c r="A50" s="16" t="s">
        <v>70</v>
      </c>
      <c r="B50" s="17" t="s">
        <v>73</v>
      </c>
      <c r="C50" s="18"/>
      <c r="D50" s="19"/>
      <c r="E50" s="18" t="s">
        <v>20</v>
      </c>
      <c r="F50" s="18"/>
      <c r="G50" s="18" t="s">
        <v>32</v>
      </c>
    </row>
    <row r="51" customFormat="false" ht="27.75" hidden="false" customHeight="true" outlineLevel="0" collapsed="false">
      <c r="A51" s="16" t="s">
        <v>70</v>
      </c>
      <c r="B51" s="17" t="s">
        <v>74</v>
      </c>
      <c r="C51" s="18"/>
      <c r="D51" s="19"/>
      <c r="E51" s="18" t="s">
        <v>20</v>
      </c>
      <c r="F51" s="18"/>
      <c r="G51" s="18" t="s">
        <v>32</v>
      </c>
    </row>
    <row r="52" customFormat="false" ht="27.75" hidden="false" customHeight="true" outlineLevel="0" collapsed="false">
      <c r="A52" s="16" t="s">
        <v>70</v>
      </c>
      <c r="B52" s="17" t="s">
        <v>75</v>
      </c>
      <c r="C52" s="18"/>
      <c r="D52" s="19"/>
      <c r="E52" s="18" t="s">
        <v>20</v>
      </c>
      <c r="F52" s="18"/>
      <c r="G52" s="18" t="s">
        <v>32</v>
      </c>
    </row>
    <row r="53" customFormat="false" ht="15" hidden="false" customHeight="false" outlineLevel="0" collapsed="false">
      <c r="A53" s="14" t="s">
        <v>76</v>
      </c>
      <c r="B53" s="15"/>
      <c r="C53" s="15"/>
      <c r="D53" s="15"/>
      <c r="E53" s="15"/>
      <c r="F53" s="15"/>
      <c r="G53" s="15"/>
    </row>
    <row r="54" customFormat="false" ht="27.75" hidden="false" customHeight="true" outlineLevel="0" collapsed="false">
      <c r="A54" s="16" t="s">
        <v>76</v>
      </c>
      <c r="B54" s="17" t="s">
        <v>77</v>
      </c>
      <c r="C54" s="18"/>
      <c r="D54" s="19"/>
      <c r="E54" s="18" t="s">
        <v>20</v>
      </c>
      <c r="F54" s="18"/>
      <c r="G54" s="18" t="s">
        <v>32</v>
      </c>
    </row>
    <row r="55" customFormat="false" ht="27.75" hidden="false" customHeight="true" outlineLevel="0" collapsed="false">
      <c r="A55" s="16" t="s">
        <v>76</v>
      </c>
      <c r="B55" s="17" t="s">
        <v>78</v>
      </c>
      <c r="C55" s="18"/>
      <c r="D55" s="19"/>
      <c r="E55" s="18" t="s">
        <v>20</v>
      </c>
      <c r="F55" s="18"/>
      <c r="G55" s="18" t="s">
        <v>32</v>
      </c>
    </row>
    <row r="56" customFormat="false" ht="27.75" hidden="false" customHeight="true" outlineLevel="0" collapsed="false">
      <c r="A56" s="16" t="s">
        <v>76</v>
      </c>
      <c r="B56" s="17" t="s">
        <v>79</v>
      </c>
      <c r="C56" s="18"/>
      <c r="D56" s="19"/>
      <c r="E56" s="18" t="s">
        <v>20</v>
      </c>
      <c r="F56" s="18"/>
      <c r="G56" s="18" t="s">
        <v>32</v>
      </c>
    </row>
    <row r="57" customFormat="false" ht="27.75" hidden="false" customHeight="true" outlineLevel="0" collapsed="false">
      <c r="A57" s="16" t="s">
        <v>76</v>
      </c>
      <c r="B57" s="17" t="s">
        <v>80</v>
      </c>
      <c r="C57" s="18"/>
      <c r="D57" s="19"/>
      <c r="E57" s="18" t="s">
        <v>20</v>
      </c>
      <c r="F57" s="18"/>
      <c r="G57" s="18" t="s">
        <v>32</v>
      </c>
    </row>
    <row r="58" customFormat="false" ht="27.75" hidden="false" customHeight="true" outlineLevel="0" collapsed="false">
      <c r="A58" s="16" t="s">
        <v>76</v>
      </c>
      <c r="B58" s="17" t="s">
        <v>81</v>
      </c>
      <c r="C58" s="18"/>
      <c r="D58" s="19"/>
      <c r="E58" s="18" t="s">
        <v>20</v>
      </c>
      <c r="F58" s="18"/>
      <c r="G58" s="18" t="s">
        <v>32</v>
      </c>
    </row>
    <row r="59" customFormat="false" ht="27.75" hidden="false" customHeight="true" outlineLevel="0" collapsed="false">
      <c r="A59" s="16" t="s">
        <v>76</v>
      </c>
      <c r="B59" s="17" t="s">
        <v>82</v>
      </c>
      <c r="C59" s="18"/>
      <c r="D59" s="19"/>
      <c r="E59" s="18" t="s">
        <v>20</v>
      </c>
      <c r="F59" s="18"/>
      <c r="G59" s="18" t="s">
        <v>32</v>
      </c>
    </row>
    <row r="60" customFormat="false" ht="15" hidden="false" customHeight="false" outlineLevel="0" collapsed="false">
      <c r="A60" s="14" t="s">
        <v>83</v>
      </c>
      <c r="B60" s="15"/>
      <c r="C60" s="15"/>
      <c r="D60" s="15"/>
      <c r="E60" s="15"/>
      <c r="F60" s="15"/>
      <c r="G60" s="15"/>
    </row>
    <row r="61" customFormat="false" ht="27.75" hidden="false" customHeight="true" outlineLevel="0" collapsed="false">
      <c r="A61" s="16" t="s">
        <v>83</v>
      </c>
      <c r="B61" s="17" t="s">
        <v>84</v>
      </c>
      <c r="C61" s="18"/>
      <c r="D61" s="19"/>
      <c r="E61" s="18" t="s">
        <v>20</v>
      </c>
      <c r="F61" s="18"/>
      <c r="G61" s="18" t="s">
        <v>32</v>
      </c>
    </row>
    <row r="62" customFormat="false" ht="27.75" hidden="false" customHeight="true" outlineLevel="0" collapsed="false">
      <c r="A62" s="16" t="s">
        <v>83</v>
      </c>
      <c r="B62" s="17" t="s">
        <v>85</v>
      </c>
      <c r="C62" s="18"/>
      <c r="D62" s="19"/>
      <c r="E62" s="18" t="s">
        <v>20</v>
      </c>
      <c r="F62" s="18"/>
      <c r="G62" s="18" t="s">
        <v>32</v>
      </c>
    </row>
    <row r="63" customFormat="false" ht="27.75" hidden="false" customHeight="true" outlineLevel="0" collapsed="false">
      <c r="A63" s="16" t="s">
        <v>83</v>
      </c>
      <c r="B63" s="17" t="s">
        <v>86</v>
      </c>
      <c r="C63" s="18"/>
      <c r="D63" s="19"/>
      <c r="E63" s="18" t="s">
        <v>20</v>
      </c>
      <c r="F63" s="18"/>
      <c r="G63" s="18" t="s">
        <v>32</v>
      </c>
    </row>
    <row r="64" customFormat="false" ht="27.75" hidden="false" customHeight="true" outlineLevel="0" collapsed="false">
      <c r="A64" s="16" t="s">
        <v>83</v>
      </c>
      <c r="B64" s="17" t="s">
        <v>87</v>
      </c>
      <c r="C64" s="18"/>
      <c r="D64" s="19"/>
      <c r="E64" s="18" t="s">
        <v>20</v>
      </c>
      <c r="F64" s="18"/>
      <c r="G64" s="18" t="s">
        <v>32</v>
      </c>
    </row>
    <row r="65" customFormat="false" ht="27.75" hidden="false" customHeight="true" outlineLevel="0" collapsed="false">
      <c r="A65" s="16" t="s">
        <v>83</v>
      </c>
      <c r="B65" s="17" t="s">
        <v>88</v>
      </c>
      <c r="C65" s="18"/>
      <c r="D65" s="19"/>
      <c r="E65" s="18" t="s">
        <v>20</v>
      </c>
      <c r="F65" s="18"/>
      <c r="G65" s="18" t="s">
        <v>32</v>
      </c>
    </row>
  </sheetData>
  <mergeCells count="1">
    <mergeCell ref="A2:G2"/>
  </mergeCells>
  <conditionalFormatting sqref="E8:E6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2">
    <dataValidation allowBlank="true" errorStyle="stop" operator="between" showDropDown="false" showErrorMessage="false" showInputMessage="false" sqref="E9:E12 E14:E20 E22:E26 E28:E32 E34:E38 E40:E46 E48:E52 E54:E59 E61:E65" type="list">
      <formula1>"Not started,In progress,Done,N/A"</formula1>
      <formula2>0</formula2>
    </dataValidation>
    <dataValidation allowBlank="true" errorStyle="stop" operator="between" showDropDown="false" showErrorMessage="false" showInputMessage="false" sqref="G9:G12 G14:G20 G22:G26 G28:G32 G34:G38 G40:G46 G48:G52 G54:G59 G61:G6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89</v>
      </c>
    </row>
    <row r="2" customFormat="false" ht="42" hidden="false" customHeight="true" outlineLevel="0" collapsed="false">
      <c r="A2" s="9" t="s">
        <v>90</v>
      </c>
      <c r="B2" s="9"/>
      <c r="C2" s="9"/>
      <c r="D2" s="9"/>
    </row>
    <row r="4" customFormat="false" ht="15" hidden="false" customHeight="false" outlineLevel="0" collapsed="false">
      <c r="A4" s="13" t="s">
        <v>91</v>
      </c>
      <c r="B4" s="13" t="s">
        <v>92</v>
      </c>
      <c r="C4" s="13" t="s">
        <v>93</v>
      </c>
      <c r="D4" s="13" t="s">
        <v>94</v>
      </c>
    </row>
    <row r="5" customFormat="false" ht="25.5" hidden="false" customHeight="true" outlineLevel="0" collapsed="false">
      <c r="A5" s="17" t="s">
        <v>95</v>
      </c>
      <c r="B5" s="18"/>
      <c r="C5" s="18"/>
      <c r="D5" s="18"/>
    </row>
    <row r="6" customFormat="false" ht="25.5" hidden="false" customHeight="true" outlineLevel="0" collapsed="false">
      <c r="A6" s="17" t="s">
        <v>96</v>
      </c>
      <c r="B6" s="18"/>
      <c r="C6" s="18"/>
      <c r="D6" s="18"/>
    </row>
    <row r="7" customFormat="false" ht="25.5" hidden="false" customHeight="true" outlineLevel="0" collapsed="false">
      <c r="A7" s="17" t="s">
        <v>97</v>
      </c>
      <c r="B7" s="18"/>
      <c r="C7" s="18"/>
      <c r="D7" s="18"/>
    </row>
    <row r="8" customFormat="false" ht="25.5" hidden="false" customHeight="true" outlineLevel="0" collapsed="false">
      <c r="A8" s="17" t="s">
        <v>98</v>
      </c>
      <c r="B8" s="18"/>
      <c r="C8" s="18"/>
      <c r="D8" s="18"/>
    </row>
    <row r="9" customFormat="false" ht="25.5" hidden="false" customHeight="true" outlineLevel="0" collapsed="false">
      <c r="A9" s="17" t="s">
        <v>99</v>
      </c>
      <c r="B9" s="18"/>
      <c r="C9" s="18"/>
      <c r="D9" s="18"/>
    </row>
    <row r="10" customFormat="false" ht="25.5" hidden="false" customHeight="true" outlineLevel="0" collapsed="false">
      <c r="A10" s="17" t="s">
        <v>100</v>
      </c>
      <c r="B10" s="18"/>
      <c r="C10" s="18"/>
      <c r="D10" s="18"/>
    </row>
    <row r="11" customFormat="false" ht="25.5" hidden="false" customHeight="true" outlineLevel="0" collapsed="false">
      <c r="A11" s="17" t="s">
        <v>101</v>
      </c>
      <c r="B11" s="18"/>
      <c r="C11" s="18"/>
      <c r="D11" s="18"/>
    </row>
    <row r="12" customFormat="false" ht="25.5" hidden="false" customHeight="true" outlineLevel="0" collapsed="false">
      <c r="A12" s="17" t="s">
        <v>102</v>
      </c>
      <c r="B12" s="18"/>
      <c r="C12" s="18"/>
      <c r="D12" s="18"/>
    </row>
    <row r="13" customFormat="false" ht="25.5" hidden="false" customHeight="true" outlineLevel="0" collapsed="false">
      <c r="A13" s="17" t="s">
        <v>103</v>
      </c>
      <c r="B13" s="18"/>
      <c r="C13" s="18"/>
      <c r="D13" s="18"/>
    </row>
    <row r="15" customFormat="false" ht="15" hidden="false" customHeight="false" outlineLevel="0" collapsed="false">
      <c r="A15" s="10" t="s">
        <v>104</v>
      </c>
      <c r="B15" s="20" t="n">
        <f aca="false">COUNTIFS(Checklist!$G$8:$G$66,"Yes",Checklist!$E$8:$E$66,"&lt;&gt;Done",Checklist!$E$8:$E$66,"&lt;&gt;N/A")</f>
        <v>49</v>
      </c>
    </row>
    <row r="16" customFormat="false" ht="15" hidden="false" customHeight="false" outlineLevel="0" collapsed="false">
      <c r="A16" s="10" t="s">
        <v>105</v>
      </c>
      <c r="B16" s="21" t="str">
        <f aca="false">IF(OR(B5="Yes",B6="Yes",B15&gt;0),"No-go, or go with written conditions",IF(COUNTIF(B7:B13,"No")&gt;0,"Go with conditions","Go"))</f>
        <v>No-go, or go with written conditions</v>
      </c>
      <c r="C16" s="21"/>
      <c r="D16" s="21"/>
    </row>
    <row r="18" customFormat="false" ht="15" hidden="false" customHeight="false" outlineLevel="0" collapsed="false">
      <c r="A18" s="10" t="s">
        <v>106</v>
      </c>
      <c r="B18" s="18"/>
    </row>
    <row r="19" customFormat="false" ht="15" hidden="false" customHeight="false" outlineLevel="0" collapsed="false">
      <c r="A19" s="10" t="s">
        <v>107</v>
      </c>
      <c r="B19" s="18"/>
      <c r="C19" s="18"/>
      <c r="D19" s="18"/>
    </row>
    <row r="20" customFormat="false" ht="15" hidden="false" customHeight="false" outlineLevel="0" collapsed="false">
      <c r="A20" s="10" t="s">
        <v>108</v>
      </c>
      <c r="B20" s="18"/>
    </row>
    <row r="22" customFormat="false" ht="15" hidden="false" customHeight="false" outlineLevel="0" collapsed="false">
      <c r="A22" s="8" t="s">
        <v>109</v>
      </c>
    </row>
  </sheetData>
  <mergeCells count="3">
    <mergeCell ref="A2:D2"/>
    <mergeCell ref="B16:D16"/>
    <mergeCell ref="B19:D19"/>
  </mergeCells>
  <dataValidations count="1">
    <dataValidation allowBlank="true" errorStyle="stop" operator="between" showDropDown="false" showErrorMessage="false" showInputMessage="false" sqref="B5:B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5" min="3" style="0" width="18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" t="s">
        <v>110</v>
      </c>
    </row>
    <row r="2" customFormat="false" ht="42" hidden="false" customHeight="true" outlineLevel="0" collapsed="false">
      <c r="A2" s="9" t="s">
        <v>111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13" t="s">
        <v>112</v>
      </c>
      <c r="B4" s="13" t="s">
        <v>113</v>
      </c>
      <c r="C4" s="13" t="s">
        <v>114</v>
      </c>
      <c r="D4" s="13" t="s">
        <v>115</v>
      </c>
      <c r="E4" s="13" t="s">
        <v>116</v>
      </c>
      <c r="F4" s="13" t="s">
        <v>117</v>
      </c>
    </row>
    <row r="5" customFormat="false" ht="39.75" hidden="false" customHeight="true" outlineLevel="0" collapsed="false">
      <c r="A5" s="10" t="s">
        <v>118</v>
      </c>
      <c r="B5" s="17" t="s">
        <v>119</v>
      </c>
      <c r="C5" s="18"/>
      <c r="D5" s="18"/>
      <c r="E5" s="18"/>
      <c r="F5" s="18"/>
    </row>
    <row r="6" customFormat="false" ht="39.75" hidden="false" customHeight="true" outlineLevel="0" collapsed="false">
      <c r="A6" s="10" t="s">
        <v>120</v>
      </c>
      <c r="B6" s="17" t="s">
        <v>121</v>
      </c>
      <c r="C6" s="18"/>
      <c r="D6" s="18"/>
      <c r="E6" s="18"/>
      <c r="F6" s="18"/>
    </row>
    <row r="7" customFormat="false" ht="39.75" hidden="false" customHeight="true" outlineLevel="0" collapsed="false">
      <c r="A7" s="10" t="s">
        <v>122</v>
      </c>
      <c r="B7" s="17" t="s">
        <v>123</v>
      </c>
      <c r="C7" s="18"/>
      <c r="D7" s="18"/>
      <c r="E7" s="18"/>
      <c r="F7" s="18"/>
    </row>
    <row r="8" customFormat="false" ht="39.75" hidden="false" customHeight="true" outlineLevel="0" collapsed="false">
      <c r="A8" s="10" t="s">
        <v>124</v>
      </c>
      <c r="B8" s="17" t="s">
        <v>125</v>
      </c>
      <c r="C8" s="18"/>
      <c r="D8" s="18"/>
      <c r="E8" s="18"/>
      <c r="F8" s="18"/>
    </row>
    <row r="9" customFormat="false" ht="39.75" hidden="false" customHeight="true" outlineLevel="0" collapsed="false">
      <c r="A9" s="10" t="s">
        <v>126</v>
      </c>
      <c r="B9" s="17" t="s">
        <v>127</v>
      </c>
      <c r="C9" s="18"/>
      <c r="D9" s="18"/>
      <c r="E9" s="18"/>
      <c r="F9" s="18"/>
    </row>
    <row r="10" customFormat="false" ht="39.75" hidden="false" customHeight="true" outlineLevel="0" collapsed="false">
      <c r="A10" s="10" t="s">
        <v>128</v>
      </c>
      <c r="B10" s="17" t="s">
        <v>129</v>
      </c>
      <c r="C10" s="18"/>
      <c r="D10" s="18"/>
      <c r="E10" s="18"/>
      <c r="F10" s="18"/>
    </row>
    <row r="11" customFormat="false" ht="39.75" hidden="false" customHeight="true" outlineLevel="0" collapsed="false">
      <c r="A11" s="10" t="s">
        <v>130</v>
      </c>
      <c r="B11" s="17" t="s">
        <v>131</v>
      </c>
      <c r="C11" s="18"/>
      <c r="D11" s="18"/>
      <c r="E11" s="18"/>
      <c r="F11" s="1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" t="s">
        <v>132</v>
      </c>
    </row>
    <row r="2" customFormat="false" ht="42" hidden="false" customHeight="true" outlineLevel="0" collapsed="false">
      <c r="A2" s="9" t="s">
        <v>133</v>
      </c>
      <c r="B2" s="9"/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A4" s="13" t="s">
        <v>134</v>
      </c>
      <c r="B4" s="13" t="s">
        <v>135</v>
      </c>
      <c r="C4" s="13" t="s">
        <v>136</v>
      </c>
      <c r="D4" s="13" t="s">
        <v>137</v>
      </c>
      <c r="E4" s="13" t="s">
        <v>138</v>
      </c>
      <c r="F4" s="13" t="s">
        <v>139</v>
      </c>
      <c r="G4" s="13" t="s">
        <v>25</v>
      </c>
      <c r="H4" s="13" t="s">
        <v>27</v>
      </c>
      <c r="I4" s="13" t="s">
        <v>140</v>
      </c>
    </row>
    <row r="5" customFormat="false" ht="15" hidden="false" customHeight="false" outlineLevel="0" collapsed="false">
      <c r="A5" s="6" t="n">
        <v>1</v>
      </c>
      <c r="B5" s="22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6" t="n">
        <v>2</v>
      </c>
      <c r="B6" s="22"/>
      <c r="C6" s="18"/>
      <c r="D6" s="18"/>
      <c r="E6" s="18"/>
      <c r="F6" s="18"/>
      <c r="G6" s="18"/>
      <c r="H6" s="18"/>
      <c r="I6" s="18"/>
    </row>
    <row r="7" customFormat="false" ht="15" hidden="false" customHeight="false" outlineLevel="0" collapsed="false">
      <c r="A7" s="6" t="n">
        <v>3</v>
      </c>
      <c r="B7" s="22"/>
      <c r="C7" s="18"/>
      <c r="D7" s="18"/>
      <c r="E7" s="18"/>
      <c r="F7" s="18"/>
      <c r="G7" s="18"/>
      <c r="H7" s="18"/>
      <c r="I7" s="18"/>
    </row>
    <row r="8" customFormat="false" ht="15" hidden="false" customHeight="false" outlineLevel="0" collapsed="false">
      <c r="A8" s="6" t="n">
        <v>4</v>
      </c>
      <c r="B8" s="22"/>
      <c r="C8" s="18"/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6" t="n">
        <v>5</v>
      </c>
      <c r="B9" s="22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6" t="n">
        <v>6</v>
      </c>
      <c r="B10" s="22"/>
      <c r="C10" s="18"/>
      <c r="D10" s="18"/>
      <c r="E10" s="18"/>
      <c r="F10" s="18"/>
      <c r="G10" s="18"/>
      <c r="H10" s="18"/>
      <c r="I10" s="18"/>
    </row>
    <row r="11" customFormat="false" ht="15" hidden="false" customHeight="false" outlineLevel="0" collapsed="false">
      <c r="A11" s="6" t="n">
        <v>7</v>
      </c>
      <c r="B11" s="22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6" t="n">
        <v>8</v>
      </c>
      <c r="B12" s="22"/>
      <c r="C12" s="18"/>
      <c r="D12" s="18"/>
      <c r="E12" s="18"/>
      <c r="F12" s="18"/>
      <c r="G12" s="18"/>
      <c r="H12" s="18"/>
      <c r="I12" s="18"/>
    </row>
    <row r="13" customFormat="false" ht="15" hidden="false" customHeight="false" outlineLevel="0" collapsed="false">
      <c r="A13" s="6" t="n">
        <v>9</v>
      </c>
      <c r="B13" s="22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6" t="n">
        <v>10</v>
      </c>
      <c r="B14" s="22"/>
      <c r="C14" s="18"/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6" t="n">
        <v>11</v>
      </c>
      <c r="B15" s="22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6" t="n">
        <v>12</v>
      </c>
      <c r="B16" s="22"/>
      <c r="C16" s="18"/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6" t="n">
        <v>13</v>
      </c>
      <c r="B17" s="22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6" t="n">
        <v>14</v>
      </c>
      <c r="B18" s="22"/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6" t="n">
        <v>15</v>
      </c>
      <c r="B19" s="22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6" t="n">
        <v>16</v>
      </c>
      <c r="B20" s="22"/>
      <c r="C20" s="18"/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A21" s="6" t="n">
        <v>17</v>
      </c>
      <c r="B21" s="22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6" t="n">
        <v>18</v>
      </c>
      <c r="B22" s="22"/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6" t="n">
        <v>19</v>
      </c>
      <c r="B23" s="22"/>
      <c r="C23" s="18"/>
      <c r="D23" s="18"/>
      <c r="E23" s="18"/>
      <c r="F23" s="18"/>
      <c r="G23" s="18"/>
      <c r="H23" s="18"/>
      <c r="I23" s="18"/>
    </row>
    <row r="24" customFormat="false" ht="15" hidden="false" customHeight="false" outlineLevel="0" collapsed="false">
      <c r="A24" s="6" t="n">
        <v>20</v>
      </c>
      <c r="B24" s="22"/>
      <c r="C24" s="18"/>
      <c r="D24" s="18"/>
      <c r="E24" s="18"/>
      <c r="F24" s="18"/>
      <c r="G24" s="18"/>
      <c r="H24" s="18"/>
      <c r="I24" s="18"/>
    </row>
    <row r="25" customFormat="false" ht="15" hidden="false" customHeight="false" outlineLevel="0" collapsed="false">
      <c r="A25" s="6" t="n">
        <v>21</v>
      </c>
      <c r="B25" s="22"/>
      <c r="C25" s="18"/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A26" s="6" t="n">
        <v>22</v>
      </c>
      <c r="B26" s="22"/>
      <c r="C26" s="18"/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A27" s="6" t="n">
        <v>23</v>
      </c>
      <c r="B27" s="22"/>
      <c r="C27" s="18"/>
      <c r="D27" s="18"/>
      <c r="E27" s="18"/>
      <c r="F27" s="18"/>
      <c r="G27" s="18"/>
      <c r="H27" s="18"/>
      <c r="I27" s="18"/>
    </row>
    <row r="28" customFormat="false" ht="15" hidden="false" customHeight="false" outlineLevel="0" collapsed="false">
      <c r="A28" s="6" t="n">
        <v>24</v>
      </c>
      <c r="B28" s="22"/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6" t="n">
        <v>25</v>
      </c>
      <c r="B29" s="22"/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6" t="n">
        <v>26</v>
      </c>
      <c r="B30" s="22"/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A31" s="6" t="n">
        <v>27</v>
      </c>
      <c r="B31" s="22"/>
      <c r="C31" s="18"/>
      <c r="D31" s="18"/>
      <c r="E31" s="18"/>
      <c r="F31" s="18"/>
      <c r="G31" s="18"/>
      <c r="H31" s="18"/>
      <c r="I31" s="18"/>
    </row>
    <row r="32" customFormat="false" ht="15" hidden="false" customHeight="false" outlineLevel="0" collapsed="false">
      <c r="A32" s="6" t="n">
        <v>28</v>
      </c>
      <c r="B32" s="22"/>
      <c r="C32" s="18"/>
      <c r="D32" s="18"/>
      <c r="E32" s="18"/>
      <c r="F32" s="18"/>
      <c r="G32" s="18"/>
      <c r="H32" s="18"/>
      <c r="I32" s="18"/>
    </row>
    <row r="33" customFormat="false" ht="15" hidden="false" customHeight="false" outlineLevel="0" collapsed="false">
      <c r="A33" s="6" t="n">
        <v>29</v>
      </c>
      <c r="B33" s="22"/>
      <c r="C33" s="18"/>
      <c r="D33" s="18"/>
      <c r="E33" s="18"/>
      <c r="F33" s="18"/>
      <c r="G33" s="18"/>
      <c r="H33" s="18"/>
      <c r="I33" s="18"/>
    </row>
    <row r="34" customFormat="false" ht="15" hidden="false" customHeight="false" outlineLevel="0" collapsed="false">
      <c r="A34" s="6" t="n">
        <v>30</v>
      </c>
      <c r="B34" s="22"/>
      <c r="C34" s="18"/>
      <c r="D34" s="18"/>
      <c r="E34" s="18"/>
      <c r="F34" s="18"/>
      <c r="G34" s="18"/>
      <c r="H34" s="18"/>
      <c r="I34" s="18"/>
    </row>
    <row r="35" customFormat="false" ht="15" hidden="false" customHeight="false" outlineLevel="0" collapsed="false">
      <c r="A35" s="6" t="n">
        <v>31</v>
      </c>
      <c r="B35" s="22"/>
      <c r="C35" s="18"/>
      <c r="D35" s="18"/>
      <c r="E35" s="18"/>
      <c r="F35" s="18"/>
      <c r="G35" s="18"/>
      <c r="H35" s="18"/>
      <c r="I35" s="18"/>
    </row>
    <row r="36" customFormat="false" ht="15" hidden="false" customHeight="false" outlineLevel="0" collapsed="false">
      <c r="A36" s="6" t="n">
        <v>32</v>
      </c>
      <c r="B36" s="22"/>
      <c r="C36" s="18"/>
      <c r="D36" s="18"/>
      <c r="E36" s="18"/>
      <c r="F36" s="18"/>
      <c r="G36" s="18"/>
      <c r="H36" s="18"/>
      <c r="I36" s="18"/>
    </row>
    <row r="37" customFormat="false" ht="15" hidden="false" customHeight="false" outlineLevel="0" collapsed="false">
      <c r="A37" s="6" t="n">
        <v>33</v>
      </c>
      <c r="B37" s="22"/>
      <c r="C37" s="18"/>
      <c r="D37" s="18"/>
      <c r="E37" s="18"/>
      <c r="F37" s="18"/>
      <c r="G37" s="18"/>
      <c r="H37" s="18"/>
      <c r="I37" s="18"/>
    </row>
    <row r="38" customFormat="false" ht="15" hidden="false" customHeight="false" outlineLevel="0" collapsed="false">
      <c r="A38" s="6" t="n">
        <v>34</v>
      </c>
      <c r="B38" s="22"/>
      <c r="C38" s="18"/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A39" s="6" t="n">
        <v>35</v>
      </c>
      <c r="B39" s="22"/>
      <c r="C39" s="18"/>
      <c r="D39" s="18"/>
      <c r="E39" s="18"/>
      <c r="F39" s="18"/>
      <c r="G39" s="18"/>
      <c r="H39" s="18"/>
      <c r="I39" s="18"/>
    </row>
    <row r="40" customFormat="false" ht="15" hidden="false" customHeight="false" outlineLevel="0" collapsed="false">
      <c r="A40" s="6" t="n">
        <v>36</v>
      </c>
      <c r="B40" s="22"/>
      <c r="C40" s="18"/>
      <c r="D40" s="18"/>
      <c r="E40" s="18"/>
      <c r="F40" s="18"/>
      <c r="G40" s="18"/>
      <c r="H40" s="18"/>
      <c r="I40" s="18"/>
    </row>
    <row r="41" customFormat="false" ht="15" hidden="false" customHeight="false" outlineLevel="0" collapsed="false">
      <c r="A41" s="6" t="n">
        <v>37</v>
      </c>
      <c r="B41" s="22"/>
      <c r="C41" s="18"/>
      <c r="D41" s="18"/>
      <c r="E41" s="18"/>
      <c r="F41" s="18"/>
      <c r="G41" s="18"/>
      <c r="H41" s="18"/>
      <c r="I41" s="18"/>
    </row>
    <row r="42" customFormat="false" ht="15" hidden="false" customHeight="false" outlineLevel="0" collapsed="false">
      <c r="A42" s="6" t="n">
        <v>38</v>
      </c>
      <c r="B42" s="22"/>
      <c r="C42" s="18"/>
      <c r="D42" s="18"/>
      <c r="E42" s="18"/>
      <c r="F42" s="18"/>
      <c r="G42" s="18"/>
      <c r="H42" s="18"/>
      <c r="I42" s="18"/>
    </row>
    <row r="43" customFormat="false" ht="15" hidden="false" customHeight="false" outlineLevel="0" collapsed="false">
      <c r="A43" s="6" t="n">
        <v>39</v>
      </c>
      <c r="B43" s="22"/>
      <c r="C43" s="18"/>
      <c r="D43" s="18"/>
      <c r="E43" s="18"/>
      <c r="F43" s="18"/>
      <c r="G43" s="18"/>
      <c r="H43" s="18"/>
      <c r="I43" s="18"/>
    </row>
    <row r="44" customFormat="false" ht="15" hidden="false" customHeight="false" outlineLevel="0" collapsed="false">
      <c r="A44" s="6" t="n">
        <v>40</v>
      </c>
      <c r="B44" s="22"/>
      <c r="C44" s="18"/>
      <c r="D44" s="18"/>
      <c r="E44" s="18"/>
      <c r="F44" s="18"/>
      <c r="G44" s="18"/>
      <c r="H44" s="18"/>
      <c r="I44" s="18"/>
    </row>
    <row r="45" customFormat="false" ht="15" hidden="false" customHeight="false" outlineLevel="0" collapsed="false">
      <c r="A45" s="6" t="n">
        <v>41</v>
      </c>
      <c r="B45" s="22"/>
      <c r="C45" s="18"/>
      <c r="D45" s="18"/>
      <c r="E45" s="18"/>
      <c r="F45" s="18"/>
      <c r="G45" s="18"/>
      <c r="H45" s="18"/>
      <c r="I45" s="18"/>
    </row>
    <row r="46" customFormat="false" ht="15" hidden="false" customHeight="false" outlineLevel="0" collapsed="false">
      <c r="A46" s="6" t="n">
        <v>42</v>
      </c>
      <c r="B46" s="22"/>
      <c r="C46" s="18"/>
      <c r="D46" s="18"/>
      <c r="E46" s="18"/>
      <c r="F46" s="18"/>
      <c r="G46" s="18"/>
      <c r="H46" s="18"/>
      <c r="I46" s="18"/>
    </row>
    <row r="47" customFormat="false" ht="15" hidden="false" customHeight="false" outlineLevel="0" collapsed="false">
      <c r="A47" s="6" t="n">
        <v>43</v>
      </c>
      <c r="B47" s="22"/>
      <c r="C47" s="18"/>
      <c r="D47" s="18"/>
      <c r="E47" s="18"/>
      <c r="F47" s="18"/>
      <c r="G47" s="18"/>
      <c r="H47" s="18"/>
      <c r="I47" s="18"/>
    </row>
    <row r="48" customFormat="false" ht="15" hidden="false" customHeight="false" outlineLevel="0" collapsed="false">
      <c r="A48" s="6" t="n">
        <v>44</v>
      </c>
      <c r="B48" s="22"/>
      <c r="C48" s="18"/>
      <c r="D48" s="18"/>
      <c r="E48" s="18"/>
      <c r="F48" s="18"/>
      <c r="G48" s="18"/>
      <c r="H48" s="18"/>
      <c r="I48" s="18"/>
    </row>
    <row r="49" customFormat="false" ht="15" hidden="false" customHeight="false" outlineLevel="0" collapsed="false">
      <c r="A49" s="6" t="n">
        <v>45</v>
      </c>
      <c r="B49" s="22"/>
      <c r="C49" s="18"/>
      <c r="D49" s="18"/>
      <c r="E49" s="18"/>
      <c r="F49" s="18"/>
      <c r="G49" s="18"/>
      <c r="H49" s="18"/>
      <c r="I49" s="18"/>
    </row>
    <row r="50" customFormat="false" ht="15" hidden="false" customHeight="false" outlineLevel="0" collapsed="false">
      <c r="A50" s="6" t="n">
        <v>46</v>
      </c>
      <c r="B50" s="22"/>
      <c r="C50" s="18"/>
      <c r="D50" s="18"/>
      <c r="E50" s="18"/>
      <c r="F50" s="18"/>
      <c r="G50" s="18"/>
      <c r="H50" s="18"/>
      <c r="I50" s="18"/>
    </row>
    <row r="51" customFormat="false" ht="15" hidden="false" customHeight="false" outlineLevel="0" collapsed="false">
      <c r="A51" s="6" t="n">
        <v>47</v>
      </c>
      <c r="B51" s="22"/>
      <c r="C51" s="18"/>
      <c r="D51" s="18"/>
      <c r="E51" s="18"/>
      <c r="F51" s="18"/>
      <c r="G51" s="18"/>
      <c r="H51" s="18"/>
      <c r="I51" s="18"/>
    </row>
    <row r="52" customFormat="false" ht="15" hidden="false" customHeight="false" outlineLevel="0" collapsed="false">
      <c r="A52" s="6" t="n">
        <v>48</v>
      </c>
      <c r="B52" s="22"/>
      <c r="C52" s="18"/>
      <c r="D52" s="18"/>
      <c r="E52" s="18"/>
      <c r="F52" s="18"/>
      <c r="G52" s="18"/>
      <c r="H52" s="18"/>
      <c r="I52" s="18"/>
    </row>
    <row r="53" customFormat="false" ht="15" hidden="false" customHeight="false" outlineLevel="0" collapsed="false">
      <c r="A53" s="6" t="n">
        <v>49</v>
      </c>
      <c r="B53" s="22"/>
      <c r="C53" s="18"/>
      <c r="D53" s="18"/>
      <c r="E53" s="18"/>
      <c r="F53" s="18"/>
      <c r="G53" s="18"/>
      <c r="H53" s="18"/>
      <c r="I53" s="18"/>
    </row>
    <row r="54" customFormat="false" ht="15" hidden="false" customHeight="false" outlineLevel="0" collapsed="false">
      <c r="A54" s="6" t="n">
        <v>50</v>
      </c>
      <c r="B54" s="22"/>
      <c r="C54" s="18"/>
      <c r="D54" s="18"/>
      <c r="E54" s="18"/>
      <c r="F54" s="18"/>
      <c r="G54" s="18"/>
      <c r="H54" s="18"/>
      <c r="I54" s="18"/>
    </row>
    <row r="55" customFormat="false" ht="15" hidden="false" customHeight="false" outlineLevel="0" collapsed="false">
      <c r="A55" s="6" t="n">
        <v>51</v>
      </c>
      <c r="B55" s="22"/>
      <c r="C55" s="18"/>
      <c r="D55" s="18"/>
      <c r="E55" s="18"/>
      <c r="F55" s="18"/>
      <c r="G55" s="18"/>
      <c r="H55" s="18"/>
      <c r="I55" s="18"/>
    </row>
    <row r="56" customFormat="false" ht="15" hidden="false" customHeight="false" outlineLevel="0" collapsed="false">
      <c r="A56" s="6" t="n">
        <v>52</v>
      </c>
      <c r="B56" s="22"/>
      <c r="C56" s="18"/>
      <c r="D56" s="18"/>
      <c r="E56" s="18"/>
      <c r="F56" s="18"/>
      <c r="G56" s="18"/>
      <c r="H56" s="18"/>
      <c r="I56" s="18"/>
    </row>
    <row r="57" customFormat="false" ht="15" hidden="false" customHeight="false" outlineLevel="0" collapsed="false">
      <c r="A57" s="6" t="n">
        <v>53</v>
      </c>
      <c r="B57" s="22"/>
      <c r="C57" s="18"/>
      <c r="D57" s="18"/>
      <c r="E57" s="18"/>
      <c r="F57" s="18"/>
      <c r="G57" s="18"/>
      <c r="H57" s="18"/>
      <c r="I57" s="18"/>
    </row>
    <row r="58" customFormat="false" ht="15" hidden="false" customHeight="false" outlineLevel="0" collapsed="false">
      <c r="A58" s="6" t="n">
        <v>54</v>
      </c>
      <c r="B58" s="22"/>
      <c r="C58" s="18"/>
      <c r="D58" s="18"/>
      <c r="E58" s="18"/>
      <c r="F58" s="18"/>
      <c r="G58" s="18"/>
      <c r="H58" s="18"/>
      <c r="I58" s="18"/>
    </row>
    <row r="59" customFormat="false" ht="15" hidden="false" customHeight="false" outlineLevel="0" collapsed="false">
      <c r="A59" s="6" t="n">
        <v>55</v>
      </c>
      <c r="B59" s="22"/>
      <c r="C59" s="18"/>
      <c r="D59" s="18"/>
      <c r="E59" s="18"/>
      <c r="F59" s="18"/>
      <c r="G59" s="18"/>
      <c r="H59" s="18"/>
      <c r="I59" s="18"/>
    </row>
    <row r="60" customFormat="false" ht="15" hidden="false" customHeight="false" outlineLevel="0" collapsed="false">
      <c r="A60" s="6" t="n">
        <v>56</v>
      </c>
      <c r="B60" s="22"/>
      <c r="C60" s="18"/>
      <c r="D60" s="18"/>
      <c r="E60" s="18"/>
      <c r="F60" s="18"/>
      <c r="G60" s="18"/>
      <c r="H60" s="18"/>
      <c r="I60" s="18"/>
    </row>
    <row r="61" customFormat="false" ht="15" hidden="false" customHeight="false" outlineLevel="0" collapsed="false">
      <c r="A61" s="6" t="n">
        <v>57</v>
      </c>
      <c r="B61" s="22"/>
      <c r="C61" s="18"/>
      <c r="D61" s="18"/>
      <c r="E61" s="18"/>
      <c r="F61" s="18"/>
      <c r="G61" s="18"/>
      <c r="H61" s="18"/>
      <c r="I61" s="18"/>
    </row>
    <row r="62" customFormat="false" ht="15" hidden="false" customHeight="false" outlineLevel="0" collapsed="false">
      <c r="A62" s="6" t="n">
        <v>58</v>
      </c>
      <c r="B62" s="22"/>
      <c r="C62" s="18"/>
      <c r="D62" s="18"/>
      <c r="E62" s="18"/>
      <c r="F62" s="18"/>
      <c r="G62" s="18"/>
      <c r="H62" s="18"/>
      <c r="I62" s="18"/>
    </row>
    <row r="63" customFormat="false" ht="15" hidden="false" customHeight="false" outlineLevel="0" collapsed="false">
      <c r="A63" s="6" t="n">
        <v>59</v>
      </c>
      <c r="B63" s="22"/>
      <c r="C63" s="18"/>
      <c r="D63" s="18"/>
      <c r="E63" s="18"/>
      <c r="F63" s="18"/>
      <c r="G63" s="18"/>
      <c r="H63" s="18"/>
      <c r="I63" s="18"/>
    </row>
    <row r="64" customFormat="false" ht="15" hidden="false" customHeight="false" outlineLevel="0" collapsed="false">
      <c r="A64" s="6" t="n">
        <v>60</v>
      </c>
      <c r="B64" s="22"/>
      <c r="C64" s="18"/>
      <c r="D64" s="18"/>
      <c r="E64" s="18"/>
      <c r="F64" s="18"/>
      <c r="G64" s="18"/>
      <c r="H64" s="18"/>
      <c r="I64" s="18"/>
    </row>
    <row r="65" customFormat="false" ht="15" hidden="false" customHeight="false" outlineLevel="0" collapsed="false">
      <c r="A65" s="6" t="n">
        <v>61</v>
      </c>
      <c r="B65" s="22"/>
      <c r="C65" s="18"/>
      <c r="D65" s="18"/>
      <c r="E65" s="18"/>
      <c r="F65" s="18"/>
      <c r="G65" s="18"/>
      <c r="H65" s="18"/>
      <c r="I65" s="18"/>
    </row>
    <row r="66" customFormat="false" ht="15" hidden="false" customHeight="false" outlineLevel="0" collapsed="false">
      <c r="A66" s="6" t="n">
        <v>62</v>
      </c>
      <c r="B66" s="22"/>
      <c r="C66" s="18"/>
      <c r="D66" s="18"/>
      <c r="E66" s="18"/>
      <c r="F66" s="18"/>
      <c r="G66" s="18"/>
      <c r="H66" s="18"/>
      <c r="I66" s="18"/>
    </row>
    <row r="67" customFormat="false" ht="15" hidden="false" customHeight="false" outlineLevel="0" collapsed="false">
      <c r="A67" s="6" t="n">
        <v>63</v>
      </c>
      <c r="B67" s="22"/>
      <c r="C67" s="18"/>
      <c r="D67" s="18"/>
      <c r="E67" s="18"/>
      <c r="F67" s="18"/>
      <c r="G67" s="18"/>
      <c r="H67" s="18"/>
      <c r="I67" s="18"/>
    </row>
    <row r="68" customFormat="false" ht="15" hidden="false" customHeight="false" outlineLevel="0" collapsed="false">
      <c r="A68" s="6" t="n">
        <v>64</v>
      </c>
      <c r="B68" s="22"/>
      <c r="C68" s="18"/>
      <c r="D68" s="18"/>
      <c r="E68" s="18"/>
      <c r="F68" s="18"/>
      <c r="G68" s="18"/>
      <c r="H68" s="18"/>
      <c r="I68" s="18"/>
    </row>
    <row r="69" customFormat="false" ht="15" hidden="false" customHeight="false" outlineLevel="0" collapsed="false">
      <c r="A69" s="6" t="n">
        <v>65</v>
      </c>
      <c r="B69" s="22"/>
      <c r="C69" s="18"/>
      <c r="D69" s="18"/>
      <c r="E69" s="18"/>
      <c r="F69" s="18"/>
      <c r="G69" s="18"/>
      <c r="H69" s="18"/>
      <c r="I69" s="18"/>
    </row>
    <row r="70" customFormat="false" ht="15" hidden="false" customHeight="false" outlineLevel="0" collapsed="false">
      <c r="A70" s="6" t="n">
        <v>66</v>
      </c>
      <c r="B70" s="22"/>
      <c r="C70" s="18"/>
      <c r="D70" s="18"/>
      <c r="E70" s="18"/>
      <c r="F70" s="18"/>
      <c r="G70" s="18"/>
      <c r="H70" s="18"/>
      <c r="I70" s="18"/>
    </row>
    <row r="71" customFormat="false" ht="15" hidden="false" customHeight="false" outlineLevel="0" collapsed="false">
      <c r="A71" s="6" t="n">
        <v>67</v>
      </c>
      <c r="B71" s="22"/>
      <c r="C71" s="18"/>
      <c r="D71" s="18"/>
      <c r="E71" s="18"/>
      <c r="F71" s="18"/>
      <c r="G71" s="18"/>
      <c r="H71" s="18"/>
      <c r="I71" s="18"/>
    </row>
    <row r="72" customFormat="false" ht="15" hidden="false" customHeight="false" outlineLevel="0" collapsed="false">
      <c r="A72" s="6" t="n">
        <v>68</v>
      </c>
      <c r="B72" s="22"/>
      <c r="C72" s="18"/>
      <c r="D72" s="18"/>
      <c r="E72" s="18"/>
      <c r="F72" s="18"/>
      <c r="G72" s="18"/>
      <c r="H72" s="18"/>
      <c r="I72" s="18"/>
    </row>
    <row r="73" customFormat="false" ht="15" hidden="false" customHeight="false" outlineLevel="0" collapsed="false">
      <c r="A73" s="6" t="n">
        <v>69</v>
      </c>
      <c r="B73" s="22"/>
      <c r="C73" s="18"/>
      <c r="D73" s="18"/>
      <c r="E73" s="18"/>
      <c r="F73" s="18"/>
      <c r="G73" s="18"/>
      <c r="H73" s="18"/>
      <c r="I73" s="18"/>
    </row>
    <row r="74" customFormat="false" ht="15" hidden="false" customHeight="false" outlineLevel="0" collapsed="false">
      <c r="A74" s="6" t="n">
        <v>70</v>
      </c>
      <c r="B74" s="22"/>
      <c r="C74" s="18"/>
      <c r="D74" s="18"/>
      <c r="E74" s="18"/>
      <c r="F74" s="18"/>
      <c r="G74" s="18"/>
      <c r="H74" s="18"/>
      <c r="I74" s="18"/>
    </row>
    <row r="75" customFormat="false" ht="15" hidden="false" customHeight="false" outlineLevel="0" collapsed="false">
      <c r="A75" s="6" t="n">
        <v>71</v>
      </c>
      <c r="B75" s="22"/>
      <c r="C75" s="18"/>
      <c r="D75" s="18"/>
      <c r="E75" s="18"/>
      <c r="F75" s="18"/>
      <c r="G75" s="18"/>
      <c r="H75" s="18"/>
      <c r="I75" s="18"/>
    </row>
    <row r="76" customFormat="false" ht="15" hidden="false" customHeight="false" outlineLevel="0" collapsed="false">
      <c r="A76" s="6" t="n">
        <v>72</v>
      </c>
      <c r="B76" s="22"/>
      <c r="C76" s="18"/>
      <c r="D76" s="18"/>
      <c r="E76" s="18"/>
      <c r="F76" s="18"/>
      <c r="G76" s="18"/>
      <c r="H76" s="18"/>
      <c r="I76" s="18"/>
    </row>
    <row r="77" customFormat="false" ht="15" hidden="false" customHeight="false" outlineLevel="0" collapsed="false">
      <c r="A77" s="6" t="n">
        <v>73</v>
      </c>
      <c r="B77" s="22"/>
      <c r="C77" s="18"/>
      <c r="D77" s="18"/>
      <c r="E77" s="18"/>
      <c r="F77" s="18"/>
      <c r="G77" s="18"/>
      <c r="H77" s="18"/>
      <c r="I77" s="18"/>
    </row>
    <row r="78" customFormat="false" ht="15" hidden="false" customHeight="false" outlineLevel="0" collapsed="false">
      <c r="A78" s="6" t="n">
        <v>74</v>
      </c>
      <c r="B78" s="22"/>
      <c r="C78" s="18"/>
      <c r="D78" s="18"/>
      <c r="E78" s="18"/>
      <c r="F78" s="18"/>
      <c r="G78" s="18"/>
      <c r="H78" s="18"/>
      <c r="I78" s="18"/>
    </row>
    <row r="79" customFormat="false" ht="15" hidden="false" customHeight="false" outlineLevel="0" collapsed="false">
      <c r="A79" s="6" t="n">
        <v>75</v>
      </c>
      <c r="B79" s="22"/>
      <c r="C79" s="18"/>
      <c r="D79" s="18"/>
      <c r="E79" s="18"/>
      <c r="F79" s="18"/>
      <c r="G79" s="18"/>
      <c r="H79" s="18"/>
      <c r="I79" s="18"/>
    </row>
    <row r="80" customFormat="false" ht="15" hidden="false" customHeight="false" outlineLevel="0" collapsed="false">
      <c r="A80" s="6" t="n">
        <v>76</v>
      </c>
      <c r="B80" s="22"/>
      <c r="C80" s="18"/>
      <c r="D80" s="18"/>
      <c r="E80" s="18"/>
      <c r="F80" s="18"/>
      <c r="G80" s="18"/>
      <c r="H80" s="18"/>
      <c r="I80" s="18"/>
    </row>
    <row r="81" customFormat="false" ht="15" hidden="false" customHeight="false" outlineLevel="0" collapsed="false">
      <c r="A81" s="6" t="n">
        <v>77</v>
      </c>
      <c r="B81" s="22"/>
      <c r="C81" s="18"/>
      <c r="D81" s="18"/>
      <c r="E81" s="18"/>
      <c r="F81" s="18"/>
      <c r="G81" s="18"/>
      <c r="H81" s="18"/>
      <c r="I81" s="18"/>
    </row>
    <row r="82" customFormat="false" ht="15" hidden="false" customHeight="false" outlineLevel="0" collapsed="false">
      <c r="A82" s="6" t="n">
        <v>78</v>
      </c>
      <c r="B82" s="22"/>
      <c r="C82" s="18"/>
      <c r="D82" s="18"/>
      <c r="E82" s="18"/>
      <c r="F82" s="18"/>
      <c r="G82" s="18"/>
      <c r="H82" s="18"/>
      <c r="I82" s="18"/>
    </row>
    <row r="83" customFormat="false" ht="15" hidden="false" customHeight="false" outlineLevel="0" collapsed="false">
      <c r="A83" s="6" t="n">
        <v>79</v>
      </c>
      <c r="B83" s="22"/>
      <c r="C83" s="18"/>
      <c r="D83" s="18"/>
      <c r="E83" s="18"/>
      <c r="F83" s="18"/>
      <c r="G83" s="18"/>
      <c r="H83" s="18"/>
      <c r="I83" s="18"/>
    </row>
    <row r="84" customFormat="false" ht="15" hidden="false" customHeight="false" outlineLevel="0" collapsed="false">
      <c r="A84" s="6" t="n">
        <v>80</v>
      </c>
      <c r="B84" s="22"/>
      <c r="C84" s="18"/>
      <c r="D84" s="18"/>
      <c r="E84" s="18"/>
      <c r="F84" s="18"/>
      <c r="G84" s="18"/>
      <c r="H84" s="18"/>
      <c r="I84" s="18"/>
    </row>
    <row r="85" customFormat="false" ht="15" hidden="false" customHeight="false" outlineLevel="0" collapsed="false">
      <c r="A85" s="6" t="n">
        <v>81</v>
      </c>
      <c r="B85" s="22"/>
      <c r="C85" s="18"/>
      <c r="D85" s="18"/>
      <c r="E85" s="18"/>
      <c r="F85" s="18"/>
      <c r="G85" s="18"/>
      <c r="H85" s="18"/>
      <c r="I85" s="18"/>
    </row>
    <row r="86" customFormat="false" ht="15" hidden="false" customHeight="false" outlineLevel="0" collapsed="false">
      <c r="A86" s="6" t="n">
        <v>82</v>
      </c>
      <c r="B86" s="22"/>
      <c r="C86" s="18"/>
      <c r="D86" s="18"/>
      <c r="E86" s="18"/>
      <c r="F86" s="18"/>
      <c r="G86" s="18"/>
      <c r="H86" s="18"/>
      <c r="I86" s="18"/>
    </row>
    <row r="87" customFormat="false" ht="15" hidden="false" customHeight="false" outlineLevel="0" collapsed="false">
      <c r="A87" s="6" t="n">
        <v>83</v>
      </c>
      <c r="B87" s="22"/>
      <c r="C87" s="18"/>
      <c r="D87" s="18"/>
      <c r="E87" s="18"/>
      <c r="F87" s="18"/>
      <c r="G87" s="18"/>
      <c r="H87" s="18"/>
      <c r="I87" s="18"/>
    </row>
    <row r="88" customFormat="false" ht="15" hidden="false" customHeight="false" outlineLevel="0" collapsed="false">
      <c r="A88" s="6" t="n">
        <v>84</v>
      </c>
      <c r="B88" s="22"/>
      <c r="C88" s="18"/>
      <c r="D88" s="18"/>
      <c r="E88" s="18"/>
      <c r="F88" s="18"/>
      <c r="G88" s="18"/>
      <c r="H88" s="18"/>
      <c r="I88" s="18"/>
    </row>
    <row r="89" customFormat="false" ht="15" hidden="false" customHeight="false" outlineLevel="0" collapsed="false">
      <c r="A89" s="6" t="n">
        <v>85</v>
      </c>
      <c r="B89" s="22"/>
      <c r="C89" s="18"/>
      <c r="D89" s="18"/>
      <c r="E89" s="18"/>
      <c r="F89" s="18"/>
      <c r="G89" s="18"/>
      <c r="H89" s="18"/>
      <c r="I89" s="18"/>
    </row>
    <row r="90" customFormat="false" ht="15" hidden="false" customHeight="false" outlineLevel="0" collapsed="false">
      <c r="A90" s="6" t="n">
        <v>86</v>
      </c>
      <c r="B90" s="22"/>
      <c r="C90" s="18"/>
      <c r="D90" s="18"/>
      <c r="E90" s="18"/>
      <c r="F90" s="18"/>
      <c r="G90" s="18"/>
      <c r="H90" s="18"/>
      <c r="I90" s="18"/>
    </row>
    <row r="91" customFormat="false" ht="15" hidden="false" customHeight="false" outlineLevel="0" collapsed="false">
      <c r="A91" s="6" t="n">
        <v>87</v>
      </c>
      <c r="B91" s="22"/>
      <c r="C91" s="18"/>
      <c r="D91" s="18"/>
      <c r="E91" s="18"/>
      <c r="F91" s="18"/>
      <c r="G91" s="18"/>
      <c r="H91" s="18"/>
      <c r="I91" s="18"/>
    </row>
    <row r="92" customFormat="false" ht="15" hidden="false" customHeight="false" outlineLevel="0" collapsed="false">
      <c r="A92" s="6" t="n">
        <v>88</v>
      </c>
      <c r="B92" s="22"/>
      <c r="C92" s="18"/>
      <c r="D92" s="18"/>
      <c r="E92" s="18"/>
      <c r="F92" s="18"/>
      <c r="G92" s="18"/>
      <c r="H92" s="18"/>
      <c r="I92" s="18"/>
    </row>
    <row r="93" customFormat="false" ht="15" hidden="false" customHeight="false" outlineLevel="0" collapsed="false">
      <c r="A93" s="6" t="n">
        <v>89</v>
      </c>
      <c r="B93" s="22"/>
      <c r="C93" s="18"/>
      <c r="D93" s="18"/>
      <c r="E93" s="18"/>
      <c r="F93" s="18"/>
      <c r="G93" s="18"/>
      <c r="H93" s="18"/>
      <c r="I93" s="18"/>
    </row>
    <row r="94" customFormat="false" ht="15" hidden="false" customHeight="false" outlineLevel="0" collapsed="false">
      <c r="A94" s="6" t="n">
        <v>90</v>
      </c>
      <c r="B94" s="22"/>
      <c r="C94" s="18"/>
      <c r="D94" s="18"/>
      <c r="E94" s="18"/>
      <c r="F94" s="18"/>
      <c r="G94" s="18"/>
      <c r="H94" s="18"/>
      <c r="I94" s="18"/>
    </row>
    <row r="95" customFormat="false" ht="15" hidden="false" customHeight="false" outlineLevel="0" collapsed="false">
      <c r="A95" s="6" t="n">
        <v>91</v>
      </c>
      <c r="B95" s="22"/>
      <c r="C95" s="18"/>
      <c r="D95" s="18"/>
      <c r="E95" s="18"/>
      <c r="F95" s="18"/>
      <c r="G95" s="18"/>
      <c r="H95" s="18"/>
      <c r="I95" s="18"/>
    </row>
    <row r="96" customFormat="false" ht="15" hidden="false" customHeight="false" outlineLevel="0" collapsed="false">
      <c r="A96" s="6" t="n">
        <v>92</v>
      </c>
      <c r="B96" s="22"/>
      <c r="C96" s="18"/>
      <c r="D96" s="18"/>
      <c r="E96" s="18"/>
      <c r="F96" s="18"/>
      <c r="G96" s="18"/>
      <c r="H96" s="18"/>
      <c r="I96" s="18"/>
    </row>
    <row r="97" customFormat="false" ht="15" hidden="false" customHeight="false" outlineLevel="0" collapsed="false">
      <c r="A97" s="6" t="n">
        <v>93</v>
      </c>
      <c r="B97" s="22"/>
      <c r="C97" s="18"/>
      <c r="D97" s="18"/>
      <c r="E97" s="18"/>
      <c r="F97" s="18"/>
      <c r="G97" s="18"/>
      <c r="H97" s="18"/>
      <c r="I97" s="18"/>
    </row>
    <row r="98" customFormat="false" ht="15" hidden="false" customHeight="false" outlineLevel="0" collapsed="false">
      <c r="A98" s="6" t="n">
        <v>94</v>
      </c>
      <c r="B98" s="22"/>
      <c r="C98" s="18"/>
      <c r="D98" s="18"/>
      <c r="E98" s="18"/>
      <c r="F98" s="18"/>
      <c r="G98" s="18"/>
      <c r="H98" s="18"/>
      <c r="I98" s="18"/>
    </row>
    <row r="99" customFormat="false" ht="15" hidden="false" customHeight="false" outlineLevel="0" collapsed="false">
      <c r="A99" s="6" t="n">
        <v>95</v>
      </c>
      <c r="B99" s="22"/>
      <c r="C99" s="18"/>
      <c r="D99" s="18"/>
      <c r="E99" s="18"/>
      <c r="F99" s="18"/>
      <c r="G99" s="18"/>
      <c r="H99" s="18"/>
      <c r="I99" s="18"/>
    </row>
    <row r="100" customFormat="false" ht="15" hidden="false" customHeight="false" outlineLevel="0" collapsed="false">
      <c r="A100" s="6" t="n">
        <v>96</v>
      </c>
      <c r="B100" s="22"/>
      <c r="C100" s="18"/>
      <c r="D100" s="18"/>
      <c r="E100" s="18"/>
      <c r="F100" s="18"/>
      <c r="G100" s="18"/>
      <c r="H100" s="18"/>
      <c r="I100" s="18"/>
    </row>
    <row r="101" customFormat="false" ht="15" hidden="false" customHeight="false" outlineLevel="0" collapsed="false">
      <c r="A101" s="6" t="n">
        <v>97</v>
      </c>
      <c r="B101" s="22"/>
      <c r="C101" s="18"/>
      <c r="D101" s="18"/>
      <c r="E101" s="18"/>
      <c r="F101" s="18"/>
      <c r="G101" s="18"/>
      <c r="H101" s="18"/>
      <c r="I101" s="18"/>
    </row>
    <row r="102" customFormat="false" ht="15" hidden="false" customHeight="false" outlineLevel="0" collapsed="false">
      <c r="A102" s="6" t="n">
        <v>98</v>
      </c>
      <c r="B102" s="22"/>
      <c r="C102" s="18"/>
      <c r="D102" s="18"/>
      <c r="E102" s="18"/>
      <c r="F102" s="18"/>
      <c r="G102" s="18"/>
      <c r="H102" s="18"/>
      <c r="I102" s="18"/>
    </row>
    <row r="103" customFormat="false" ht="15" hidden="false" customHeight="false" outlineLevel="0" collapsed="false">
      <c r="A103" s="6" t="n">
        <v>99</v>
      </c>
      <c r="B103" s="22"/>
      <c r="C103" s="18"/>
      <c r="D103" s="18"/>
      <c r="E103" s="18"/>
      <c r="F103" s="18"/>
      <c r="G103" s="18"/>
      <c r="H103" s="18"/>
      <c r="I103" s="18"/>
    </row>
    <row r="104" customFormat="false" ht="15" hidden="false" customHeight="false" outlineLevel="0" collapsed="false">
      <c r="A104" s="6" t="n">
        <v>100</v>
      </c>
      <c r="B104" s="22"/>
      <c r="C104" s="18"/>
      <c r="D104" s="18"/>
      <c r="E104" s="18"/>
      <c r="F104" s="18"/>
      <c r="G104" s="18"/>
      <c r="H104" s="18"/>
      <c r="I104" s="18"/>
    </row>
  </sheetData>
  <mergeCells count="1">
    <mergeCell ref="A2:I2"/>
  </mergeCells>
  <conditionalFormatting sqref="A5:I104">
    <cfRule type="expression" priority="2" aboveAverage="0" equalAverage="0" bottom="0" percent="0" rank="0" text="" dxfId="2">
      <formula>AND($F5=1,$H5&lt;&gt;"Closed",$H5&lt;&gt;"Fixed")</formula>
    </cfRule>
  </conditionalFormatting>
  <dataValidations count="2">
    <dataValidation allowBlank="true" errorStyle="stop" operator="between" showDropDown="false" showErrorMessage="false" showInputMessage="false" sqref="F5:F104" type="list">
      <formula1>"1,2,3,4"</formula1>
      <formula2>0</formula2>
    </dataValidation>
    <dataValidation allowBlank="true" errorStyle="stop" operator="between" showDropDown="false" showErrorMessage="false" showInputMessage="false" sqref="H5:H104" type="list">
      <formula1>"Open,Fixing,Fixed,Closed"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2026-10-28T16:59:00Z</dcterms:created>
  <dc:creator>Matt Barber, Shopfloor Matters</dc:creator>
  <dc:description/>
  <dc:language>en-US</dc:language>
  <cp:lastModifiedBy/>
  <dcterms:modified xsi:type="dcterms:W3CDTF">2026-10-28T16:59:00Z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