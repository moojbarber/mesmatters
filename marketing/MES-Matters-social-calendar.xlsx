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Weekly overview" sheetId="3" state="visible" r:id="rId3"/>
    <sheet xmlns:r="http://schemas.openxmlformats.org/officeDocument/2006/relationships" name="Post types" sheetId="4" state="visible" r:id="rId4"/>
  </sheets>
  <definedNames>
    <definedName name="_xlnm._FilterDatabase" localSheetId="1" hidden="1">'Calendar'!$A$1:$O$225</definedName>
    <definedName name="_xlnm._FilterDatabase" localSheetId="2" hidden="1">'Weekly overview'!$A$1:$F$57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d\ d\ mmm\ 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820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8B6C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5B3FD6"/>
      <sz val="10"/>
    </font>
    <font>
      <name val="Arial"/>
      <charset val="1"/>
      <family val="0"/>
      <color rgb="FF1F4FD1"/>
      <sz val="10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0820"/>
        <bgColor rgb="FF000000"/>
      </patternFill>
    </fill>
    <fill>
      <patternFill patternType="solid">
        <fgColor rgb="FFF3F1F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6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0A0820"/>
          <bgColor rgb="FF000000"/>
        </patternFill>
      </fill>
    </dxf>
    <dxf>
      <fill>
        <patternFill patternType="solid">
          <fgColor rgb="FFF3F1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3FD6"/>
          <bgColor rgb="FF000000"/>
        </patternFill>
      </fill>
    </dxf>
    <dxf>
      <fill>
        <patternFill patternType="solid">
          <fgColor rgb="FF1F4FD1"/>
          <bgColor rgb="FF000000"/>
        </patternFill>
      </fill>
    </dxf>
    <dxf>
      <fill>
        <patternFill patternType="solid">
          <fgColor rgb="FFFFF1C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9F2DA"/>
        </patternFill>
      </fill>
    </dxf>
    <dxf>
      <fill>
        <patternFill>
          <bgColor rgb="FFD6EEFB"/>
        </patternFill>
      </fill>
    </dxf>
    <dxf>
      <fill>
        <patternFill>
          <bgColor rgb="FFFFF1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820"/>
      <rgbColor rgb="FF808000"/>
      <rgbColor rgb="FF800080"/>
      <rgbColor rgb="FF008080"/>
      <rgbColor rgb="FFC0C0C0"/>
      <rgbColor rgb="FF808080"/>
      <rgbColor rgb="FF8B6CFF"/>
      <rgbColor rgb="FF993366"/>
      <rgbColor rgb="FFFFF1C2"/>
      <rgbColor rgb="FFD6EEFB"/>
      <rgbColor rgb="FF660066"/>
      <rgbColor rgb="FFFF8080"/>
      <rgbColor rgb="FF1F4FD1"/>
      <rgbColor rgb="FFD9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FC"/>
      <rgbColor rgb="FFC9F2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D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mesmatters.com/post/connected-worker-one-app-not-five" TargetMode="External" Id="rId1"/><Relationship Type="http://schemas.openxmlformats.org/officeDocument/2006/relationships/hyperlink" Target="https://www.mesmatters.com/post/what-is-a-smart-factory" TargetMode="External" Id="rId2"/><Relationship Type="http://schemas.openxmlformats.org/officeDocument/2006/relationships/hyperlink" Target="https://www.mesmatters.com/post/ai-ml-genai-on-the-shopfloor" TargetMode="External" Id="rId3"/><Relationship Type="http://schemas.openxmlformats.org/officeDocument/2006/relationships/hyperlink" Target="https://www.mesmatters.com/post/smart-manufacturing-maturity-model" TargetMode="External" Id="rId4"/><Relationship Type="http://schemas.openxmlformats.org/officeDocument/2006/relationships/hyperlink" Target="https://www.mesmatters.com/post/plm-erp-mes-digital-thread" TargetMode="External" Id="rId5"/><Relationship Type="http://schemas.openxmlformats.org/officeDocument/2006/relationships/hyperlink" Target="https://www.mesmatters.com/post/digital-shift-handover" TargetMode="External" Id="rId6"/><Relationship Type="http://schemas.openxmlformats.org/officeDocument/2006/relationships/hyperlink" Target="https://www.mesmatters.com/post/smart-factory-tech-stack" TargetMode="External" Id="rId7"/><Relationship Type="http://schemas.openxmlformats.org/officeDocument/2006/relationships/hyperlink" Target="https://www.mesmatters.com/post/mes-vs-mom" TargetMode="External" Id="rId8"/><Relationship Type="http://schemas.openxmlformats.org/officeDocument/2006/relationships/hyperlink" Target="https://www.mesmatters.com/post/ebom-mbom-as-built" TargetMode="External" Id="rId9"/><Relationship Type="http://schemas.openxmlformats.org/officeDocument/2006/relationships/hyperlink" Target="https://www.mesmatters.com/post/contextualised-manufacturing-data" TargetMode="External" Id="rId10"/><Relationship Type="http://schemas.openxmlformats.org/officeDocument/2006/relationships/hyperlink" Target="https://www.mesmatters.com/post/mes-business-case" TargetMode="External" Id="rId11"/><Relationship Type="http://schemas.openxmlformats.org/officeDocument/2006/relationships/hyperlink" Target="https://www.mesmatters.com/post/food-manufacturing-mes-barriers" TargetMode="External" Id="rId12"/><Relationship Type="http://schemas.openxmlformats.org/officeDocument/2006/relationships/hyperlink" Target="https://www.mesmatters.com/post/cpq-to-shopfloor" TargetMode="External" Id="rId13"/><Relationship Type="http://schemas.openxmlformats.org/officeDocument/2006/relationships/hyperlink" Target="https://www.mesmatters.com/post/skills-enforcement-shopfloor" TargetMode="External" Id="rId14"/><Relationship Type="http://schemas.openxmlformats.org/officeDocument/2006/relationships/hyperlink" Target="https://www.mesmatters.com/post/practical-genai-for-the-shopfloor" TargetMode="External" Id="rId15"/><Relationship Type="http://schemas.openxmlformats.org/officeDocument/2006/relationships/hyperlink" Target="https://www.mesmatters.com/post/wms-vs-mes-inventory" TargetMode="External" Id="rId16"/><Relationship Type="http://schemas.openxmlformats.org/officeDocument/2006/relationships/hyperlink" Target="https://www.mesmatters.com/post/iiot-vs-mes" TargetMode="External" Id="rId17"/><Relationship Type="http://schemas.openxmlformats.org/officeDocument/2006/relationships/hyperlink" Target="https://www.mesmatters.com/post/configure-dont-customise" TargetMode="External" Id="rId18"/><Relationship Type="http://schemas.openxmlformats.org/officeDocument/2006/relationships/hyperlink" Target="https://www.mesmatters.com/post/aps-vs-mes-scheduling" TargetMode="External" Id="rId19"/><Relationship Type="http://schemas.openxmlformats.org/officeDocument/2006/relationships/hyperlink" Target="https://www.mesmatters.com/post/digital-work-instructions" TargetMode="External" Id="rId20"/><Relationship Type="http://schemas.openxmlformats.org/officeDocument/2006/relationships/hyperlink" Target="https://www.mesmatters.com/post/predictive-maintenance-data" TargetMode="External" Id="rId21"/><Relationship Type="http://schemas.openxmlformats.org/officeDocument/2006/relationships/hyperlink" Target="https://www.mesmatters.com/post/qms-and-mes-quality" TargetMode="External" Id="rId22"/><Relationship Type="http://schemas.openxmlformats.org/officeDocument/2006/relationships/hyperlink" Target="https://www.mesmatters.com/post/manufacturing-traceability" TargetMode="External" Id="rId23"/><Relationship Type="http://schemas.openxmlformats.org/officeDocument/2006/relationships/hyperlink" Target="https://www.mesmatters.com/post/how-to-choose-an-mes" TargetMode="External" Id="rId24"/><Relationship Type="http://schemas.openxmlformats.org/officeDocument/2006/relationships/hyperlink" Target="https://www.mesmatters.com/post/spc-on-the-shopfloor" TargetMode="External" Id="rId25"/><Relationship Type="http://schemas.openxmlformats.org/officeDocument/2006/relationships/hyperlink" Target="https://www.mesmatters.com/post/ai-for-frontline-workers" TargetMode="External" Id="rId26"/><Relationship Type="http://schemas.openxmlformats.org/officeDocument/2006/relationships/hyperlink" Target="https://www.mesmatters.com/post/smart-manufacturing-myths" TargetMode="External" Id="rId27"/><Relationship Type="http://schemas.openxmlformats.org/officeDocument/2006/relationships/hyperlink" Target="https://www.mesmatters.com/post/eam-cmms-and-mes" TargetMode="External" Id="rId28"/><Relationship Type="http://schemas.openxmlformats.org/officeDocument/2006/relationships/hyperlink" Target="https://www.mesmatters.com/post/mes-functionality-maintenance" TargetMode="External" Id="rId29"/><Relationship Type="http://schemas.openxmlformats.org/officeDocument/2006/relationships/hyperlink" Target="https://www.mesmatters.com/post/manufacturing-change-management" TargetMode="External" Id="rId30"/><Relationship Type="http://schemas.openxmlformats.org/officeDocument/2006/relationships/hyperlink" Target="https://www.mesmatters.com/post/lims-and-mes" TargetMode="External" Id="rId31"/><Relationship Type="http://schemas.openxmlformats.org/officeDocument/2006/relationships/hyperlink" Target="https://www.mesmatters.com/post/agentic-ai-mcp-manufacturing" TargetMode="External" Id="rId32"/><Relationship Type="http://schemas.openxmlformats.org/officeDocument/2006/relationships/hyperlink" Target="https://www.mesmatters.com/post/manufacturing-kpis-beyond-oee" TargetMode="External" Id="rId33"/><Relationship Type="http://schemas.openxmlformats.org/officeDocument/2006/relationships/hyperlink" Target="https://www.mesmatters.com/post/isa95-integration-patterns" TargetMode="External" Id="rId34"/><Relationship Type="http://schemas.openxmlformats.org/officeDocument/2006/relationships/hyperlink" Target="https://www.mesmatters.com/post/smart-factory-technology-mistakes" TargetMode="External" Id="rId35"/><Relationship Type="http://schemas.openxmlformats.org/officeDocument/2006/relationships/hyperlink" Target="https://www.mesmatters.com/post/mes-is-a-digital-twin" TargetMode="External" Id="rId36"/><Relationship Type="http://schemas.openxmlformats.org/officeDocument/2006/relationships/hyperlink" Target="https://www.mesmatters.com/post/ot-cybersecurity-for-mes" TargetMode="External" Id="rId37"/><Relationship Type="http://schemas.openxmlformats.org/officeDocument/2006/relationships/hyperlink" Target="https://www.mesmatters.com/post/opc-ua-mqtt-uns-explained" TargetMode="External" Id="rId38"/><Relationship Type="http://schemas.openxmlformats.org/officeDocument/2006/relationships/hyperlink" Target="https://www.mesmatters.com/post/erp-master-data-for-mes" TargetMode="External" Id="rId39"/><Relationship Type="http://schemas.openxmlformats.org/officeDocument/2006/relationships/hyperlink" Target="https://www.mesmatters.com/post/mes-in-regulated-industries" TargetMode="External" Id="rId40"/><Relationship Type="http://schemas.openxmlformats.org/officeDocument/2006/relationships/hyperlink" Target="https://www.mesmatters.com/post/esg-needs-shopfloor-data" TargetMode="External" Id="rId41"/><Relationship Type="http://schemas.openxmlformats.org/officeDocument/2006/relationships/hyperlink" Target="https://www.mesmatters.com/post/mes-functionality-tooling" TargetMode="External" Id="rId42"/><Relationship Type="http://schemas.openxmlformats.org/officeDocument/2006/relationships/hyperlink" Target="https://www.mesmatters.com/post/service-data-back-to-engineering" TargetMode="External" Id="rId43"/><Relationship Type="http://schemas.openxmlformats.org/officeDocument/2006/relationships/hyperlink" Target="https://www.mesmatters.com/post/replacing-a-homegrown-mes" TargetMode="External" Id="rId44"/><Relationship Type="http://schemas.openxmlformats.org/officeDocument/2006/relationships/hyperlink" Target="https://www.mesmatters.com/post/smart-factory-roi-research" TargetMode="External" Id="rId45"/><Relationship Type="http://schemas.openxmlformats.org/officeDocument/2006/relationships/hyperlink" Target="https://www.mesmatters.com/post/cloud-vs-on-premises-mes" TargetMode="External" Id="rId46"/><Relationship Type="http://schemas.openxmlformats.org/officeDocument/2006/relationships/hyperlink" Target="https://www.mesmatters.com/post/how-long-does-mes-implementation-take" TargetMode="External" Id="rId47"/><Relationship Type="http://schemas.openxmlformats.org/officeDocument/2006/relationships/hyperlink" Target="https://www.mesmatters.com/post/paperless-manufacturing" TargetMode="External" Id="rId48"/><Relationship Type="http://schemas.openxmlformats.org/officeDocument/2006/relationships/hyperlink" Target="https://www.mesmatters.com/post/discrete-vs-process-manufacturing" TargetMode="External" Id="rId49"/><Relationship Type="http://schemas.openxmlformats.org/officeDocument/2006/relationships/hyperlink" Target="https://www.mesmatters.com/post/mes-functionality-energy" TargetMode="External" Id="rId50"/><Relationship Type="http://schemas.openxmlformats.org/officeDocument/2006/relationships/hyperlink" Target="https://www.mesmatters.com/post/manufacturing-process-mapping" TargetMode="External" Id="rId51"/><Relationship Type="http://schemas.openxmlformats.org/officeDocument/2006/relationships/hyperlink" Target="https://www.mesmatters.com/post/scada-vs-mes" TargetMode="External" Id="rId52"/><Relationship Type="http://schemas.openxmlformats.org/officeDocument/2006/relationships/hyperlink" Target="https://www.mesmatters.com/post/mes-multi-site-rollout" TargetMode="External" Id="rId53"/><Relationship Type="http://schemas.openxmlformats.org/officeDocument/2006/relationships/hyperlink" Target="https://www.mesmatters.com/post/manufacturing-data-platforms" TargetMode="External" Id="rId54"/><Relationship Type="http://schemas.openxmlformats.org/officeDocument/2006/relationships/hyperlink" Target="https://www.mesmatters.com/post/smart-factory-glossary" TargetMode="External" Id="rId55"/><Relationship Type="http://schemas.openxmlformats.org/officeDocument/2006/relationships/hyperlink" Target="https://www.mesmatters.com/post/mes-go-live" TargetMode="External" Id="rId5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smatters.com/post/connected-worker-one-app-not-five" TargetMode="External" Id="rId1"/><Relationship Type="http://schemas.openxmlformats.org/officeDocument/2006/relationships/hyperlink" Target="https://www.mesmatters.com/post/what-is-a-smart-factory" TargetMode="External" Id="rId2"/><Relationship Type="http://schemas.openxmlformats.org/officeDocument/2006/relationships/hyperlink" Target="https://www.mesmatters.com/post/ai-ml-genai-on-the-shopfloor" TargetMode="External" Id="rId3"/><Relationship Type="http://schemas.openxmlformats.org/officeDocument/2006/relationships/hyperlink" Target="https://www.mesmatters.com/post/smart-manufacturing-maturity-model" TargetMode="External" Id="rId4"/><Relationship Type="http://schemas.openxmlformats.org/officeDocument/2006/relationships/hyperlink" Target="https://www.mesmatters.com/post/plm-erp-mes-digital-thread" TargetMode="External" Id="rId5"/><Relationship Type="http://schemas.openxmlformats.org/officeDocument/2006/relationships/hyperlink" Target="https://www.mesmatters.com/post/digital-shift-handover" TargetMode="External" Id="rId6"/><Relationship Type="http://schemas.openxmlformats.org/officeDocument/2006/relationships/hyperlink" Target="https://www.mesmatters.com/post/smart-factory-tech-stack" TargetMode="External" Id="rId7"/><Relationship Type="http://schemas.openxmlformats.org/officeDocument/2006/relationships/hyperlink" Target="https://www.mesmatters.com/post/mes-vs-mom" TargetMode="External" Id="rId8"/><Relationship Type="http://schemas.openxmlformats.org/officeDocument/2006/relationships/hyperlink" Target="https://www.mesmatters.com/post/ebom-mbom-as-built" TargetMode="External" Id="rId9"/><Relationship Type="http://schemas.openxmlformats.org/officeDocument/2006/relationships/hyperlink" Target="https://www.mesmatters.com/post/contextualised-manufacturing-data" TargetMode="External" Id="rId10"/><Relationship Type="http://schemas.openxmlformats.org/officeDocument/2006/relationships/hyperlink" Target="https://www.mesmatters.com/post/mes-business-case" TargetMode="External" Id="rId11"/><Relationship Type="http://schemas.openxmlformats.org/officeDocument/2006/relationships/hyperlink" Target="https://www.mesmatters.com/post/food-manufacturing-mes-barriers" TargetMode="External" Id="rId12"/><Relationship Type="http://schemas.openxmlformats.org/officeDocument/2006/relationships/hyperlink" Target="https://www.mesmatters.com/post/cpq-to-shopfloor" TargetMode="External" Id="rId13"/><Relationship Type="http://schemas.openxmlformats.org/officeDocument/2006/relationships/hyperlink" Target="https://www.mesmatters.com/post/skills-enforcement-shopfloor" TargetMode="External" Id="rId14"/><Relationship Type="http://schemas.openxmlformats.org/officeDocument/2006/relationships/hyperlink" Target="https://www.mesmatters.com/post/practical-genai-for-the-shopfloor" TargetMode="External" Id="rId15"/><Relationship Type="http://schemas.openxmlformats.org/officeDocument/2006/relationships/hyperlink" Target="https://www.mesmatters.com/post/wms-vs-mes-inventory" TargetMode="External" Id="rId16"/><Relationship Type="http://schemas.openxmlformats.org/officeDocument/2006/relationships/hyperlink" Target="https://www.mesmatters.com/post/iiot-vs-mes" TargetMode="External" Id="rId17"/><Relationship Type="http://schemas.openxmlformats.org/officeDocument/2006/relationships/hyperlink" Target="https://www.mesmatters.com/post/configure-dont-customise" TargetMode="External" Id="rId18"/><Relationship Type="http://schemas.openxmlformats.org/officeDocument/2006/relationships/hyperlink" Target="https://www.mesmatters.com/post/aps-vs-mes-scheduling" TargetMode="External" Id="rId19"/><Relationship Type="http://schemas.openxmlformats.org/officeDocument/2006/relationships/hyperlink" Target="https://www.mesmatters.com/post/digital-work-instructions" TargetMode="External" Id="rId20"/><Relationship Type="http://schemas.openxmlformats.org/officeDocument/2006/relationships/hyperlink" Target="https://www.mesmatters.com/post/predictive-maintenance-data" TargetMode="External" Id="rId21"/><Relationship Type="http://schemas.openxmlformats.org/officeDocument/2006/relationships/hyperlink" Target="https://www.mesmatters.com/post/qms-and-mes-quality" TargetMode="External" Id="rId22"/><Relationship Type="http://schemas.openxmlformats.org/officeDocument/2006/relationships/hyperlink" Target="https://www.mesmatters.com/post/manufacturing-traceability" TargetMode="External" Id="rId23"/><Relationship Type="http://schemas.openxmlformats.org/officeDocument/2006/relationships/hyperlink" Target="https://www.mesmatters.com/post/how-to-choose-an-mes" TargetMode="External" Id="rId24"/><Relationship Type="http://schemas.openxmlformats.org/officeDocument/2006/relationships/hyperlink" Target="https://www.mesmatters.com/post/spc-on-the-shopfloor" TargetMode="External" Id="rId25"/><Relationship Type="http://schemas.openxmlformats.org/officeDocument/2006/relationships/hyperlink" Target="https://www.mesmatters.com/post/ai-for-frontline-workers" TargetMode="External" Id="rId26"/><Relationship Type="http://schemas.openxmlformats.org/officeDocument/2006/relationships/hyperlink" Target="https://www.mesmatters.com/post/smart-manufacturing-myths" TargetMode="External" Id="rId27"/><Relationship Type="http://schemas.openxmlformats.org/officeDocument/2006/relationships/hyperlink" Target="https://www.mesmatters.com/post/eam-cmms-and-mes" TargetMode="External" Id="rId28"/><Relationship Type="http://schemas.openxmlformats.org/officeDocument/2006/relationships/hyperlink" Target="https://www.mesmatters.com/post/mes-functionality-maintenance" TargetMode="External" Id="rId29"/><Relationship Type="http://schemas.openxmlformats.org/officeDocument/2006/relationships/hyperlink" Target="https://www.mesmatters.com/post/manufacturing-change-management" TargetMode="External" Id="rId30"/><Relationship Type="http://schemas.openxmlformats.org/officeDocument/2006/relationships/hyperlink" Target="https://www.mesmatters.com/post/lims-and-mes" TargetMode="External" Id="rId31"/><Relationship Type="http://schemas.openxmlformats.org/officeDocument/2006/relationships/hyperlink" Target="https://www.mesmatters.com/post/agentic-ai-mcp-manufacturing" TargetMode="External" Id="rId32"/><Relationship Type="http://schemas.openxmlformats.org/officeDocument/2006/relationships/hyperlink" Target="https://www.mesmatters.com/post/manufacturing-kpis-beyond-oee" TargetMode="External" Id="rId33"/><Relationship Type="http://schemas.openxmlformats.org/officeDocument/2006/relationships/hyperlink" Target="https://www.mesmatters.com/post/isa95-integration-patterns" TargetMode="External" Id="rId34"/><Relationship Type="http://schemas.openxmlformats.org/officeDocument/2006/relationships/hyperlink" Target="https://www.mesmatters.com/post/smart-factory-technology-mistakes" TargetMode="External" Id="rId35"/><Relationship Type="http://schemas.openxmlformats.org/officeDocument/2006/relationships/hyperlink" Target="https://www.mesmatters.com/post/mes-is-a-digital-twin" TargetMode="External" Id="rId36"/><Relationship Type="http://schemas.openxmlformats.org/officeDocument/2006/relationships/hyperlink" Target="https://www.mesmatters.com/post/ot-cybersecurity-for-mes" TargetMode="External" Id="rId37"/><Relationship Type="http://schemas.openxmlformats.org/officeDocument/2006/relationships/hyperlink" Target="https://www.mesmatters.com/post/opc-ua-mqtt-uns-explained" TargetMode="External" Id="rId38"/><Relationship Type="http://schemas.openxmlformats.org/officeDocument/2006/relationships/hyperlink" Target="https://www.mesmatters.com/post/erp-master-data-for-mes" TargetMode="External" Id="rId39"/><Relationship Type="http://schemas.openxmlformats.org/officeDocument/2006/relationships/hyperlink" Target="https://www.mesmatters.com/post/mes-in-regulated-industries" TargetMode="External" Id="rId40"/><Relationship Type="http://schemas.openxmlformats.org/officeDocument/2006/relationships/hyperlink" Target="https://www.mesmatters.com/post/esg-needs-shopfloor-data" TargetMode="External" Id="rId41"/><Relationship Type="http://schemas.openxmlformats.org/officeDocument/2006/relationships/hyperlink" Target="https://www.mesmatters.com/post/mes-functionality-tooling" TargetMode="External" Id="rId42"/><Relationship Type="http://schemas.openxmlformats.org/officeDocument/2006/relationships/hyperlink" Target="https://www.mesmatters.com/post/service-data-back-to-engineering" TargetMode="External" Id="rId43"/><Relationship Type="http://schemas.openxmlformats.org/officeDocument/2006/relationships/hyperlink" Target="https://www.mesmatters.com/post/replacing-a-homegrown-mes" TargetMode="External" Id="rId44"/><Relationship Type="http://schemas.openxmlformats.org/officeDocument/2006/relationships/hyperlink" Target="https://www.mesmatters.com/post/smart-factory-roi-research" TargetMode="External" Id="rId45"/><Relationship Type="http://schemas.openxmlformats.org/officeDocument/2006/relationships/hyperlink" Target="https://www.mesmatters.com/post/cloud-vs-on-premises-mes" TargetMode="External" Id="rId46"/><Relationship Type="http://schemas.openxmlformats.org/officeDocument/2006/relationships/hyperlink" Target="https://www.mesmatters.com/post/how-long-does-mes-implementation-take" TargetMode="External" Id="rId47"/><Relationship Type="http://schemas.openxmlformats.org/officeDocument/2006/relationships/hyperlink" Target="https://www.mesmatters.com/post/paperless-manufacturing" TargetMode="External" Id="rId48"/><Relationship Type="http://schemas.openxmlformats.org/officeDocument/2006/relationships/hyperlink" Target="https://www.mesmatters.com/post/discrete-vs-process-manufacturing" TargetMode="External" Id="rId49"/><Relationship Type="http://schemas.openxmlformats.org/officeDocument/2006/relationships/hyperlink" Target="https://www.mesmatters.com/post/mes-functionality-energy" TargetMode="External" Id="rId50"/><Relationship Type="http://schemas.openxmlformats.org/officeDocument/2006/relationships/hyperlink" Target="https://www.mesmatters.com/post/manufacturing-process-mapping" TargetMode="External" Id="rId51"/><Relationship Type="http://schemas.openxmlformats.org/officeDocument/2006/relationships/hyperlink" Target="https://www.mesmatters.com/post/scada-vs-mes" TargetMode="External" Id="rId52"/><Relationship Type="http://schemas.openxmlformats.org/officeDocument/2006/relationships/hyperlink" Target="https://www.mesmatters.com/post/mes-multi-site-rollout" TargetMode="External" Id="rId53"/><Relationship Type="http://schemas.openxmlformats.org/officeDocument/2006/relationships/hyperlink" Target="https://www.mesmatters.com/post/manufacturing-data-platforms" TargetMode="External" Id="rId54"/><Relationship Type="http://schemas.openxmlformats.org/officeDocument/2006/relationships/hyperlink" Target="https://www.mesmatters.com/post/smart-factory-glossary" TargetMode="External" Id="rId55"/><Relationship Type="http://schemas.openxmlformats.org/officeDocument/2006/relationships/hyperlink" Target="https://www.mesmatters.com/post/mes-go-live" TargetMode="External" Id="rId56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6" min="1" max="1"/>
    <col width="22" customWidth="1" style="26" min="2" max="2"/>
  </cols>
  <sheetData>
    <row r="1" ht="19.5" customHeight="1" s="27">
      <c r="A1" s="28" t="inlineStr">
        <is>
          <t>MES Matters social calendar</t>
        </is>
      </c>
    </row>
    <row r="2" ht="15" customHeight="1" s="27">
      <c r="A2" s="29" t="n"/>
    </row>
    <row r="3" ht="15" customHeight="1" s="27">
      <c r="A3" s="29" t="inlineStr">
        <is>
          <t>Newsletter start date (first Tuesday)</t>
        </is>
      </c>
      <c r="B3" s="30" t="n">
        <v>46322</v>
      </c>
    </row>
    <row r="4" ht="15" customHeight="1" s="27">
      <c r="A4" s="29" t="n"/>
    </row>
    <row r="5" ht="15" customHeight="1" s="27">
      <c r="A5" s="31" t="inlineStr">
        <is>
          <t>How it works</t>
        </is>
      </c>
    </row>
    <row r="6" ht="15" customHeight="1" s="27">
      <c r="A6" s="29" t="inlineStr">
        <is>
          <t>Every week features one MES Matters article. The newsletter sends it on Tuesday morning, and four posts per platform support it.</t>
        </is>
      </c>
    </row>
    <row r="7" ht="15" customHeight="1" s="27">
      <c r="A7" s="29" t="inlineStr">
        <is>
          <t>Tuesday: the article post. LinkedIn link goes in the first comment, not the post.</t>
        </is>
      </c>
    </row>
    <row r="8" ht="15" customHeight="1" s="27">
      <c r="A8" s="29" t="inlineStr">
        <is>
          <t>Monday, Thursday and Friday: supporting posts on the same theme, with no link.</t>
        </is>
      </c>
    </row>
    <row r="9" ht="15" customHeight="1" s="27">
      <c r="A9" s="29" t="inlineStr">
        <is>
          <t>Write each post once, then adapt it for each platform using the LinkedIn, X and Instagram columns.</t>
        </is>
      </c>
    </row>
    <row r="10" ht="15" customHeight="1" s="27">
      <c r="A10" s="29" t="inlineStr">
        <is>
          <t>Story posts are prompts: use your own real experience. Anonymise customers and companies.</t>
        </is>
      </c>
    </row>
    <row r="11" ht="15" customHeight="1" s="27">
      <c r="A11" s="29" t="n"/>
    </row>
    <row r="12" ht="15" customHeight="1" s="27">
      <c r="A12" s="31" t="inlineStr">
        <is>
          <t>What to edit</t>
        </is>
      </c>
    </row>
    <row r="13" ht="15" customHeight="1" s="27">
      <c r="A13" s="29" t="inlineStr">
        <is>
          <t>Change the start date above and every date in the calendar moves with it.</t>
        </is>
      </c>
    </row>
    <row r="14" ht="15" customHeight="1" s="27">
      <c r="A14" s="29" t="inlineStr">
        <is>
          <t>In the Calendar tab, update Status and Notes as you go. Everything else is the plan.</t>
        </is>
      </c>
    </row>
    <row r="15" ht="15" customHeight="1" s="27">
      <c r="A15" s="29" t="n"/>
    </row>
    <row r="16" ht="15" customHeight="1" s="27">
      <c r="A16" s="31" t="inlineStr">
        <is>
          <t>Status</t>
        </is>
      </c>
    </row>
    <row r="17" ht="15" customHeight="1" s="27">
      <c r="A17" s="29" t="inlineStr">
        <is>
          <t>Planned: topic agreed, not written yet</t>
        </is>
      </c>
    </row>
    <row r="18" ht="15" customHeight="1" s="27">
      <c r="A18" s="29" t="inlineStr">
        <is>
          <t>Drafted: copy written for all three platforms</t>
        </is>
      </c>
    </row>
    <row r="19" ht="15" customHeight="1" s="27">
      <c r="A19" s="29" t="inlineStr">
        <is>
          <t>Scheduled: queued in LinkedIn, X or Instagram</t>
        </is>
      </c>
    </row>
    <row r="20" ht="15" customHeight="1" s="27">
      <c r="A20" s="29" t="inlineStr">
        <is>
          <t>Posted: live</t>
        </is>
      </c>
    </row>
    <row r="21" ht="15" customHeight="1" s="27">
      <c r="A21" s="29" t="n"/>
    </row>
    <row r="22" ht="15" customHeight="1" s="27">
      <c r="A22" s="31" t="inlineStr">
        <is>
          <t>Links</t>
        </is>
      </c>
    </row>
    <row r="23" ht="15" customHeight="1" s="27">
      <c r="A23" s="29" t="inlineStr">
        <is>
          <t>Add UTM tags so you can see which platform sends readers: ?utm_source=linkedin (or x, instagram)&amp;utm_medium=social</t>
        </is>
      </c>
    </row>
    <row r="24" ht="15" customHeight="1" s="27">
      <c r="A24" s="29" t="n"/>
    </row>
    <row r="25" ht="15" customHeight="1" s="27">
      <c r="A25" s="31" t="inlineStr">
        <is>
          <t>Example of a finished row</t>
        </is>
      </c>
    </row>
    <row r="26" ht="15" customHeight="1" s="27">
      <c r="A26" s="29" t="inlineStr">
        <is>
          <t>Week 1, Tue: Hook 'Your operators don't need another app. They need fewer.' Status: Drafted. Notes: 'Carousel designed, LinkedIn copy approved.'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5" customWidth="1" style="26" min="2" max="2"/>
    <col width="6" customWidth="1" style="26" min="3" max="3"/>
    <col width="34" customWidth="1" style="26" min="4" max="4"/>
    <col width="16" customWidth="1" style="26" min="5" max="5"/>
    <col width="18" customWidth="1" style="26" min="6" max="6"/>
    <col width="46" customWidth="1" style="26" min="7" max="7"/>
    <col width="58" customWidth="1" style="26" min="8" max="8"/>
    <col width="34" customWidth="1" style="26" min="9" max="9"/>
    <col width="24" customWidth="1" style="26" min="10" max="10"/>
    <col width="30" customWidth="1" style="26" min="11" max="11"/>
    <col width="34" customWidth="1" style="26" min="12" max="12"/>
    <col hidden="1" width="7" customWidth="1" style="26" min="13" max="13"/>
    <col width="12" customWidth="1" style="26" min="14" max="14"/>
    <col width="30" customWidth="1" style="26" min="15" max="15"/>
  </cols>
  <sheetData>
    <row r="1" ht="30" customHeight="1" s="27">
      <c r="A1" s="32" t="inlineStr">
        <is>
          <t>Week</t>
        </is>
      </c>
      <c r="B1" s="32" t="inlineStr">
        <is>
          <t>Date</t>
        </is>
      </c>
      <c r="C1" s="32" t="inlineStr">
        <is>
          <t>Day</t>
        </is>
      </c>
      <c r="D1" s="32" t="inlineStr">
        <is>
          <t>Featured article</t>
        </is>
      </c>
      <c r="E1" s="32" t="inlineStr">
        <is>
          <t>Pillar</t>
        </is>
      </c>
      <c r="F1" s="32" t="inlineStr">
        <is>
          <t>Post type</t>
        </is>
      </c>
      <c r="G1" s="32" t="inlineStr">
        <is>
          <t>Hook (first line)</t>
        </is>
      </c>
      <c r="H1" s="32" t="inlineStr">
        <is>
          <t>Key points</t>
        </is>
      </c>
      <c r="I1" s="32" t="inlineStr">
        <is>
          <t>LinkedIn</t>
        </is>
      </c>
      <c r="J1" s="32" t="inlineStr">
        <is>
          <t>X</t>
        </is>
      </c>
      <c r="K1" s="32" t="inlineStr">
        <is>
          <t>Instagram</t>
        </is>
      </c>
      <c r="L1" s="32" t="inlineStr">
        <is>
          <t>Link</t>
        </is>
      </c>
      <c r="M1" s="32" t="inlineStr">
        <is>
          <t>Post order</t>
        </is>
      </c>
      <c r="N1" s="32" t="inlineStr">
        <is>
          <t>Status</t>
        </is>
      </c>
      <c r="O1" s="32" t="inlineStr">
        <is>
          <t>Notes</t>
        </is>
      </c>
    </row>
    <row r="2" ht="34.5" customHeight="1" s="27">
      <c r="A2" s="33" t="n">
        <v>1</v>
      </c>
      <c r="B2" s="34">
        <f>'Weekly overview'!$B$2+(-1)</f>
        <v/>
      </c>
      <c r="C2" s="33" t="inlineStr">
        <is>
          <t>Mon</t>
        </is>
      </c>
      <c r="D2" s="33" t="inlineStr">
        <is>
          <t>Connected worker: why your operators need one app, not five</t>
        </is>
      </c>
      <c r="E2" s="33" t="inlineStr">
        <is>
          <t>Smart Factory &amp; AI</t>
        </is>
      </c>
      <c r="F2" s="33" t="inlineStr">
        <is>
          <t>Stat or framework</t>
        </is>
      </c>
      <c r="G2" s="35" t="inlineStr">
        <is>
          <t>72% of industrial organisations say frontline workforce issues have hurt their operational performance.</t>
        </is>
      </c>
      <c r="H2" s="33" t="inlineStr">
        <is>
          <t>• Source: LNS Research, 2023 (in the article)
• The problem isn't effort. It's tools that don't talk to each other. Ask: how many screens does your operator touch in one shift?</t>
        </is>
      </c>
      <c r="I2" s="33" t="inlineStr">
        <is>
          <t>Image or document carousel. No link.</t>
        </is>
      </c>
      <c r="J2" s="33" t="inlineStr">
        <is>
          <t>Single post with the image.</t>
        </is>
      </c>
      <c r="K2" s="33" t="inlineStr">
        <is>
          <t>Carousel, 5–7 slides.</t>
        </is>
      </c>
      <c r="L2" s="33" t="inlineStr">
        <is>
          <t>No link (keeps reach up)</t>
        </is>
      </c>
      <c r="M2" s="33" t="n">
        <v>1</v>
      </c>
      <c r="N2" s="36" t="inlineStr">
        <is>
          <t>Drafted</t>
        </is>
      </c>
      <c r="O2" s="36" t="inlineStr">
        <is>
          <t>Copy in 'Social posts: weeks 1–4' doc; images on the carousels page</t>
        </is>
      </c>
    </row>
    <row r="3" ht="68.25" customHeight="1" s="27">
      <c r="A3" s="33" t="n">
        <v>1</v>
      </c>
      <c r="B3" s="34">
        <f>'Weekly overview'!$B$2+(0)</f>
        <v/>
      </c>
      <c r="C3" s="33" t="inlineStr">
        <is>
          <t>Tue</t>
        </is>
      </c>
      <c r="D3" s="33" t="inlineStr">
        <is>
          <t>Connected worker: why your operators need one app, not five</t>
        </is>
      </c>
      <c r="E3" s="33" t="inlineStr">
        <is>
          <t>Smart Factory &amp; AI</t>
        </is>
      </c>
      <c r="F3" s="37" t="inlineStr">
        <is>
          <t>Article post</t>
        </is>
      </c>
      <c r="G3" s="37" t="inlineStr">
        <is>
          <t>Your operators don't need another app. They need fewer.</t>
        </is>
      </c>
      <c r="H3" s="33" t="inlineStr">
        <is>
          <t>• Connected worker solves real frontline problems: skills, checklists, handover, instructions
• Bought standalone, it becomes app number five on the operator's screen
• It belongs inside MES/MOM, on the same data as production
• Article: what it is, why now, and the word of caution</t>
        </is>
      </c>
      <c r="I3" s="33" t="inlineStr">
        <is>
          <t>Text post, 150–250 words. Article link in the FIRST COMMENT.</t>
        </is>
      </c>
      <c r="J3" s="33" t="inlineStr">
        <is>
          <t>Thread, 5–7 posts. Link in the last post.</t>
        </is>
      </c>
      <c r="K3" s="33" t="inlineStr">
        <is>
          <t>Carousel, 7–9 slides. 'Link in bio' on the last slide.</t>
        </is>
      </c>
      <c r="L3" s="38" t="inlineStr">
        <is>
          <t>https://www.mesmatters.com/post/connected-worker-one-app-not-five</t>
        </is>
      </c>
      <c r="M3" s="33" t="n">
        <v>2</v>
      </c>
      <c r="N3" s="36" t="inlineStr">
        <is>
          <t>Drafted</t>
        </is>
      </c>
      <c r="O3" s="36" t="inlineStr">
        <is>
          <t>Copy in 'Social posts: weeks 1–4' doc; images on the carousels page</t>
        </is>
      </c>
    </row>
    <row r="4" ht="23.25" customHeight="1" s="27">
      <c r="A4" s="33" t="n">
        <v>1</v>
      </c>
      <c r="B4" s="34">
        <f>'Weekly overview'!$B$2+(2)</f>
        <v/>
      </c>
      <c r="C4" s="33" t="inlineStr">
        <is>
          <t>Thu</t>
        </is>
      </c>
      <c r="D4" s="33" t="inlineStr">
        <is>
          <t>Connected worker: why your operators need one app, not five</t>
        </is>
      </c>
      <c r="E4" s="33" t="inlineStr">
        <is>
          <t>Smart Factory &amp; AI</t>
        </is>
      </c>
      <c r="F4" s="33" t="inlineStr">
        <is>
          <t>Question / poll</t>
        </is>
      </c>
      <c r="G4" s="35" t="inlineStr">
        <is>
          <t>How many different apps does an operator in your factory use in a single shift?</t>
        </is>
      </c>
      <c r="H4" s="33" t="inlineStr">
        <is>
          <t>• Poll options: 1–2 / 3–4 / 5+ / I've never counted
• Follow up in comments with why it matters: every switch loses context</t>
        </is>
      </c>
      <c r="I4" s="33" t="inlineStr">
        <is>
          <t>LinkedIn poll (1 week). Reply to comments.</t>
        </is>
      </c>
      <c r="J4" s="33" t="inlineStr">
        <is>
          <t>Poll.</t>
        </is>
      </c>
      <c r="K4" s="33" t="inlineStr">
        <is>
          <t>Story poll, plus a quote graphic in the feed.</t>
        </is>
      </c>
      <c r="L4" s="33" t="inlineStr">
        <is>
          <t>No link (keeps reach up)</t>
        </is>
      </c>
      <c r="M4" s="33" t="n">
        <v>3</v>
      </c>
      <c r="N4" s="36" t="inlineStr">
        <is>
          <t>Drafted</t>
        </is>
      </c>
      <c r="O4" s="36" t="inlineStr">
        <is>
          <t>Copy in 'Social posts: weeks 1–4' doc; images on the carousels page</t>
        </is>
      </c>
    </row>
    <row r="5" ht="34.5" customHeight="1" s="27">
      <c r="A5" s="33" t="n">
        <v>1</v>
      </c>
      <c r="B5" s="34">
        <f>'Weekly overview'!$B$2+(3)</f>
        <v/>
      </c>
      <c r="C5" s="33" t="inlineStr">
        <is>
          <t>Fri</t>
        </is>
      </c>
      <c r="D5" s="33" t="inlineStr">
        <is>
          <t>Connected worker: why your operators need one app, not five</t>
        </is>
      </c>
      <c r="E5" s="33" t="inlineStr">
        <is>
          <t>Smart Factory &amp; AI</t>
        </is>
      </c>
      <c r="F5" s="33" t="inlineStr">
        <is>
          <t>Contrarian take</t>
        </is>
      </c>
      <c r="G5" s="35" t="inlineStr">
        <is>
          <t>A connected worker platform that duplicates your MES isn't digital transformation. It's a new silo with a nicer UI.</t>
        </is>
      </c>
      <c r="H5" s="33" t="inlineStr">
        <is>
          <t>• Two systems, two versions of the truth about the same shift
• Integration costs land later, and they land on IT. Better question: what does the operator need on one screen?</t>
        </is>
      </c>
      <c r="I5" s="33" t="inlineStr">
        <is>
          <t>Short text post, 50–120 words. No link.</t>
        </is>
      </c>
      <c r="J5" s="33" t="inlineStr">
        <is>
          <t>Single post.</t>
        </is>
      </c>
      <c r="K5" s="33" t="inlineStr">
        <is>
          <t>Carousel: the take on slide 1, the reasoning over 3–4 slides.</t>
        </is>
      </c>
      <c r="L5" s="33" t="inlineStr">
        <is>
          <t>No link (keeps reach up)</t>
        </is>
      </c>
      <c r="M5" s="33" t="n">
        <v>4</v>
      </c>
      <c r="N5" s="36" t="inlineStr">
        <is>
          <t>Drafted</t>
        </is>
      </c>
      <c r="O5" s="36" t="inlineStr">
        <is>
          <t>Copy in 'Social posts: weeks 1–4' doc; images on the carousels page</t>
        </is>
      </c>
    </row>
    <row r="6" ht="45.75" customHeight="1" s="27">
      <c r="A6" s="39" t="n">
        <v>2</v>
      </c>
      <c r="B6" s="40">
        <f>'Weekly overview'!$B$3+(-1)</f>
        <v/>
      </c>
      <c r="C6" s="39" t="inlineStr">
        <is>
          <t>Mon</t>
        </is>
      </c>
      <c r="D6" s="39" t="inlineStr">
        <is>
          <t>What is a smart factory? No version number required</t>
        </is>
      </c>
      <c r="E6" s="39" t="inlineStr">
        <is>
          <t>Smart Factory &amp; AI</t>
        </is>
      </c>
      <c r="F6" s="39" t="inlineStr">
        <is>
          <t>Myth vs reality</t>
        </is>
      </c>
      <c r="G6" s="41" t="inlineStr">
        <is>
          <t>Myth: a smart factory is full of robots and empty of people.</t>
        </is>
      </c>
      <c r="H6" s="39" t="inlineStr">
        <is>
          <t>• Reality: the smartest factories I've seen are full of people making better decisions
• Automation matters, but data and process matter first. Carousel: 4 myths vs reality</t>
        </is>
      </c>
      <c r="I6" s="39" t="inlineStr">
        <is>
          <t>Text post or document carousel. No link.</t>
        </is>
      </c>
      <c r="J6" s="39" t="inlineStr">
        <is>
          <t>Single post.</t>
        </is>
      </c>
      <c r="K6" s="39" t="inlineStr">
        <is>
          <t>Carousel: myth slide, reality slide.</t>
        </is>
      </c>
      <c r="L6" s="39" t="inlineStr">
        <is>
          <t>No link (keeps reach up)</t>
        </is>
      </c>
      <c r="M6" s="39" t="n">
        <v>1</v>
      </c>
      <c r="N6" s="42" t="inlineStr">
        <is>
          <t>Drafted</t>
        </is>
      </c>
      <c r="O6" s="42" t="inlineStr">
        <is>
          <t>Copy in 'Social posts: weeks 1–4' doc; images on the carousels page</t>
        </is>
      </c>
    </row>
    <row r="7" ht="45.75" customHeight="1" s="27">
      <c r="A7" s="39" t="n">
        <v>2</v>
      </c>
      <c r="B7" s="40">
        <f>'Weekly overview'!$B$3+(0)</f>
        <v/>
      </c>
      <c r="C7" s="39" t="inlineStr">
        <is>
          <t>Tue</t>
        </is>
      </c>
      <c r="D7" s="39" t="inlineStr">
        <is>
          <t>What is a smart factory? No version number required</t>
        </is>
      </c>
      <c r="E7" s="39" t="inlineStr">
        <is>
          <t>Smart Factory &amp; AI</t>
        </is>
      </c>
      <c r="F7" s="43" t="inlineStr">
        <is>
          <t>Article post</t>
        </is>
      </c>
      <c r="G7" s="43" t="inlineStr">
        <is>
          <t>A smart factory doesn't need a version number.</t>
        </is>
      </c>
      <c r="H7" s="39" t="inlineStr">
        <is>
          <t>• It's not Industry 6.0 or science fiction
• It's people, processes and technology working together on good data
• Five things define it, and none of them is a robot
• It doesn't reduce complexity. It helps you manage it</t>
        </is>
      </c>
      <c r="I7" s="39" t="inlineStr">
        <is>
          <t>Text post, 150–250 words. Article link in the FIRST COMMENT.</t>
        </is>
      </c>
      <c r="J7" s="39" t="inlineStr">
        <is>
          <t>Thread, 5–7 posts. Link in the last post.</t>
        </is>
      </c>
      <c r="K7" s="39" t="inlineStr">
        <is>
          <t>Carousel, 7–9 slides. 'Link in bio' on the last slide.</t>
        </is>
      </c>
      <c r="L7" s="44" t="inlineStr">
        <is>
          <t>https://www.mesmatters.com/post/what-is-a-smart-factory</t>
        </is>
      </c>
      <c r="M7" s="39" t="n">
        <v>2</v>
      </c>
      <c r="N7" s="42" t="inlineStr">
        <is>
          <t>Drafted</t>
        </is>
      </c>
      <c r="O7" s="42" t="inlineStr">
        <is>
          <t>Copy in 'Social posts: weeks 1–4' doc; images on the carousels page</t>
        </is>
      </c>
    </row>
    <row r="8" ht="34.5" customHeight="1" s="27">
      <c r="A8" s="39" t="n">
        <v>2</v>
      </c>
      <c r="B8" s="40">
        <f>'Weekly overview'!$B$3+(2)</f>
        <v/>
      </c>
      <c r="C8" s="39" t="inlineStr">
        <is>
          <t>Thu</t>
        </is>
      </c>
      <c r="D8" s="39" t="inlineStr">
        <is>
          <t>What is a smart factory? No version number required</t>
        </is>
      </c>
      <c r="E8" s="39" t="inlineStr">
        <is>
          <t>Smart Factory &amp; AI</t>
        </is>
      </c>
      <c r="F8" s="39" t="inlineStr">
        <is>
          <t>Stat or framework</t>
        </is>
      </c>
      <c r="G8" s="41" t="inlineStr">
        <is>
          <t>Deloitte asked 600 large manufacturers what smart manufacturing delivered. The headline: production output up 10–20% on average.</t>
        </is>
      </c>
      <c r="H8" s="39" t="inlineStr">
        <is>
          <t>• Deloitte 2025 Smart Manufacturing Survey (in the article)
• These are averages from large companies, self-reported. The point: the returns are real when the basics are in place</t>
        </is>
      </c>
      <c r="I8" s="39" t="inlineStr">
        <is>
          <t>Image or document carousel. No link.</t>
        </is>
      </c>
      <c r="J8" s="39" t="inlineStr">
        <is>
          <t>Single post with the image.</t>
        </is>
      </c>
      <c r="K8" s="39" t="inlineStr">
        <is>
          <t>Carousel, 5–7 slides.</t>
        </is>
      </c>
      <c r="L8" s="39" t="inlineStr">
        <is>
          <t>No link (keeps reach up)</t>
        </is>
      </c>
      <c r="M8" s="39" t="n">
        <v>3</v>
      </c>
      <c r="N8" s="42" t="inlineStr">
        <is>
          <t>Drafted</t>
        </is>
      </c>
      <c r="O8" s="42" t="inlineStr">
        <is>
          <t>Copy in 'Social posts: weeks 1–4' doc; images on the carousels page</t>
        </is>
      </c>
    </row>
    <row r="9" ht="34.5" customHeight="1" s="27">
      <c r="A9" s="39" t="n">
        <v>2</v>
      </c>
      <c r="B9" s="40">
        <f>'Weekly overview'!$B$3+(3)</f>
        <v/>
      </c>
      <c r="C9" s="39" t="inlineStr">
        <is>
          <t>Fri</t>
        </is>
      </c>
      <c r="D9" s="39" t="inlineStr">
        <is>
          <t>What is a smart factory? No version number required</t>
        </is>
      </c>
      <c r="E9" s="39" t="inlineStr">
        <is>
          <t>Smart Factory &amp; AI</t>
        </is>
      </c>
      <c r="F9" s="39" t="inlineStr">
        <is>
          <t>Story (your experience)</t>
        </is>
      </c>
      <c r="G9" s="41" t="inlineStr">
        <is>
          <t>Story prompt: the moment you realised a factory was 'smart' (or wasn't).</t>
        </is>
      </c>
      <c r="H9" s="39" t="inlineStr">
        <is>
          <t>• Your experience: a visit, a project, a conversation on the shopfloor
• What gave it away? Data on screens, or people chasing paper?. End: what would you look for on a factory tour?</t>
        </is>
      </c>
      <c r="I9" s="39" t="inlineStr">
        <is>
          <t>Story post, 150–250 words, from your own experience. No link.</t>
        </is>
      </c>
      <c r="J9" s="39" t="inlineStr">
        <is>
          <t>Short thread, 3–4 posts.</t>
        </is>
      </c>
      <c r="K9" s="39" t="inlineStr">
        <is>
          <t>Reel: 30–45 sec talking to camera.</t>
        </is>
      </c>
      <c r="L9" s="39" t="inlineStr">
        <is>
          <t>No link (keeps reach up)</t>
        </is>
      </c>
      <c r="M9" s="39" t="n">
        <v>4</v>
      </c>
      <c r="N9" s="42" t="inlineStr">
        <is>
          <t>Drafted</t>
        </is>
      </c>
      <c r="O9" s="42" t="inlineStr">
        <is>
          <t>Copy in 'Social posts: weeks 1–4' doc; images on the carousels page</t>
        </is>
      </c>
    </row>
    <row r="10" ht="34.5" customHeight="1" s="27">
      <c r="A10" s="33" t="n">
        <v>3</v>
      </c>
      <c r="B10" s="34">
        <f>'Weekly overview'!$B$4+(-1)</f>
        <v/>
      </c>
      <c r="C10" s="33" t="inlineStr">
        <is>
          <t>Mon</t>
        </is>
      </c>
      <c r="D10" s="33" t="inlineStr">
        <is>
          <t>AI, ML and GenAI on the shopfloor: what each one actually does</t>
        </is>
      </c>
      <c r="E10" s="33" t="inlineStr">
        <is>
          <t>Smart Factory &amp; AI</t>
        </is>
      </c>
      <c r="F10" s="33" t="inlineStr">
        <is>
          <t>Analogy</t>
        </is>
      </c>
      <c r="G10" s="35" t="inlineStr">
        <is>
          <t>Machine learning is older than you think. SPC has been spotting drift on production lines for decades.</t>
        </is>
      </c>
      <c r="H10" s="33" t="inlineStr">
        <is>
          <t>• Learn what normal looks like, then flag what isn't
• That's the core idea behind a lot of 'AI' being sold today. Point: don't let the label distract you from the data</t>
        </is>
      </c>
      <c r="I10" s="33" t="inlineStr">
        <is>
          <t>Short text post, 50–120 words. No link.</t>
        </is>
      </c>
      <c r="J10" s="33" t="inlineStr">
        <is>
          <t>Single post.</t>
        </is>
      </c>
      <c r="K10" s="33" t="inlineStr">
        <is>
          <t>Quote graphic.</t>
        </is>
      </c>
      <c r="L10" s="33" t="inlineStr">
        <is>
          <t>No link (keeps reach up)</t>
        </is>
      </c>
      <c r="M10" s="33" t="n">
        <v>1</v>
      </c>
      <c r="N10" s="36" t="inlineStr">
        <is>
          <t>Drafted</t>
        </is>
      </c>
      <c r="O10" s="36" t="inlineStr">
        <is>
          <t>Copy in 'Social posts: weeks 1–4' doc; images on the carousels page</t>
        </is>
      </c>
    </row>
    <row r="11" ht="45.75" customHeight="1" s="27">
      <c r="A11" s="33" t="n">
        <v>3</v>
      </c>
      <c r="B11" s="34">
        <f>'Weekly overview'!$B$4+(0)</f>
        <v/>
      </c>
      <c r="C11" s="33" t="inlineStr">
        <is>
          <t>Tue</t>
        </is>
      </c>
      <c r="D11" s="33" t="inlineStr">
        <is>
          <t>AI, ML and GenAI on the shopfloor: what each one actually does</t>
        </is>
      </c>
      <c r="E11" s="33" t="inlineStr">
        <is>
          <t>Smart Factory &amp; AI</t>
        </is>
      </c>
      <c r="F11" s="37" t="inlineStr">
        <is>
          <t>Article post</t>
        </is>
      </c>
      <c r="G11" s="37" t="inlineStr">
        <is>
          <t>AI, ML and GenAI are not the same thing. Using them interchangeably costs money.</t>
        </is>
      </c>
      <c r="H11" s="33" t="inlineStr">
        <is>
          <t>• Machine learning: predicting outcomes from your operational data
• Generative AI: creating text, summaries and answers
• Agentic AI: systems that take actions
• All of them need the same thing first: clean, contextualised data</t>
        </is>
      </c>
      <c r="I11" s="33" t="inlineStr">
        <is>
          <t>Text post, 150–250 words. Article link in the FIRST COMMENT.</t>
        </is>
      </c>
      <c r="J11" s="33" t="inlineStr">
        <is>
          <t>Thread, 5–7 posts. Link in the last post.</t>
        </is>
      </c>
      <c r="K11" s="33" t="inlineStr">
        <is>
          <t>Carousel, 7–9 slides. 'Link in bio' on the last slide.</t>
        </is>
      </c>
      <c r="L11" s="38" t="inlineStr">
        <is>
          <t>https://www.mesmatters.com/post/ai-ml-genai-on-the-shopfloor</t>
        </is>
      </c>
      <c r="M11" s="33" t="n">
        <v>2</v>
      </c>
      <c r="N11" s="36" t="inlineStr">
        <is>
          <t>Drafted</t>
        </is>
      </c>
      <c r="O11" s="36" t="inlineStr">
        <is>
          <t>Copy in 'Social posts: weeks 1–4' doc; images on the carousels page</t>
        </is>
      </c>
    </row>
    <row r="12" ht="34.5" customHeight="1" s="27">
      <c r="A12" s="33" t="n">
        <v>3</v>
      </c>
      <c r="B12" s="34">
        <f>'Weekly overview'!$B$4+(2)</f>
        <v/>
      </c>
      <c r="C12" s="33" t="inlineStr">
        <is>
          <t>Thu</t>
        </is>
      </c>
      <c r="D12" s="33" t="inlineStr">
        <is>
          <t>AI, ML and GenAI on the shopfloor: what each one actually does</t>
        </is>
      </c>
      <c r="E12" s="33" t="inlineStr">
        <is>
          <t>Smart Factory &amp; AI</t>
        </is>
      </c>
      <c r="F12" s="33" t="inlineStr">
        <is>
          <t>Question / poll</t>
        </is>
      </c>
      <c r="G12" s="35" t="inlineStr">
        <is>
          <t>Which AI use case would you fund first in your factory?</t>
        </is>
      </c>
      <c r="H12" s="33" t="inlineStr">
        <is>
          <t>• Poll: predictive maintenance / predictive quality / GenAI assistant for operators / natural-language reporting
• Comment with what's stopping you</t>
        </is>
      </c>
      <c r="I12" s="33" t="inlineStr">
        <is>
          <t>LinkedIn poll (1 week). Reply to comments.</t>
        </is>
      </c>
      <c r="J12" s="33" t="inlineStr">
        <is>
          <t>Poll.</t>
        </is>
      </c>
      <c r="K12" s="33" t="inlineStr">
        <is>
          <t>Story poll, plus a quote graphic in the feed.</t>
        </is>
      </c>
      <c r="L12" s="33" t="inlineStr">
        <is>
          <t>No link (keeps reach up)</t>
        </is>
      </c>
      <c r="M12" s="33" t="n">
        <v>3</v>
      </c>
      <c r="N12" s="36" t="inlineStr">
        <is>
          <t>Drafted</t>
        </is>
      </c>
      <c r="O12" s="36" t="inlineStr">
        <is>
          <t>Copy in 'Social posts: weeks 1–4' doc; images on the carousels page</t>
        </is>
      </c>
    </row>
    <row r="13" ht="34.5" customHeight="1" s="27">
      <c r="A13" s="33" t="n">
        <v>3</v>
      </c>
      <c r="B13" s="34">
        <f>'Weekly overview'!$B$4+(3)</f>
        <v/>
      </c>
      <c r="C13" s="33" t="inlineStr">
        <is>
          <t>Fri</t>
        </is>
      </c>
      <c r="D13" s="33" t="inlineStr">
        <is>
          <t>AI, ML and GenAI on the shopfloor: what each one actually does</t>
        </is>
      </c>
      <c r="E13" s="33" t="inlineStr">
        <is>
          <t>Smart Factory &amp; AI</t>
        </is>
      </c>
      <c r="F13" s="33" t="inlineStr">
        <is>
          <t>Contrarian take</t>
        </is>
      </c>
      <c r="G13" s="35" t="inlineStr">
        <is>
          <t>If your shopfloor data is typed in at the end of the shift, your AI project is a very expensive guess.</t>
        </is>
      </c>
      <c r="H13" s="33" t="inlineStr">
        <is>
          <t>• Models learn from what you feed them
• Estimates in, confident-looking nonsense out. Fix the data capture first, then talk about models</t>
        </is>
      </c>
      <c r="I13" s="33" t="inlineStr">
        <is>
          <t>Short text post, 50–120 words. No link.</t>
        </is>
      </c>
      <c r="J13" s="33" t="inlineStr">
        <is>
          <t>Single post.</t>
        </is>
      </c>
      <c r="K13" s="33" t="inlineStr">
        <is>
          <t>Carousel: the take on slide 1, the reasoning over 3–4 slides.</t>
        </is>
      </c>
      <c r="L13" s="33" t="inlineStr">
        <is>
          <t>No link (keeps reach up)</t>
        </is>
      </c>
      <c r="M13" s="33" t="n">
        <v>4</v>
      </c>
      <c r="N13" s="36" t="inlineStr">
        <is>
          <t>Drafted</t>
        </is>
      </c>
      <c r="O13" s="36" t="inlineStr">
        <is>
          <t>Copy in 'Social posts: weeks 1–4' doc; images on the carousels page</t>
        </is>
      </c>
    </row>
    <row r="14" ht="57" customHeight="1" s="27">
      <c r="A14" s="39" t="n">
        <v>4</v>
      </c>
      <c r="B14" s="40">
        <f>'Weekly overview'!$B$5+(-1)</f>
        <v/>
      </c>
      <c r="C14" s="39" t="inlineStr">
        <is>
          <t>Mon</t>
        </is>
      </c>
      <c r="D14" s="39" t="inlineStr">
        <is>
          <t>The smart manufacturing maturity model: you can't skip a level</t>
        </is>
      </c>
      <c r="E14" s="39" t="inlineStr">
        <is>
          <t>Smart Factory &amp; AI</t>
        </is>
      </c>
      <c r="F14" s="39" t="inlineStr">
        <is>
          <t>Checklist</t>
        </is>
      </c>
      <c r="G14" s="41" t="inlineStr">
        <is>
          <t>Four questions to find your factory's real maturity level.</t>
        </is>
      </c>
      <c r="H14" s="39" t="inlineStr">
        <is>
          <t>• Is production data captured automatically or typed in later?
• Do production, quality and maintenance use the same data?
• Can you trace a lot in minutes?
• Do decisions use real-time data or last week's report?
• Carousel: one slide per level</t>
        </is>
      </c>
      <c r="I14" s="39" t="inlineStr">
        <is>
          <t>Document carousel (PDF), one item per page.</t>
        </is>
      </c>
      <c r="J14" s="39" t="inlineStr">
        <is>
          <t>Thread, one item per post.</t>
        </is>
      </c>
      <c r="K14" s="39" t="inlineStr">
        <is>
          <t>Carousel, one item per slide.</t>
        </is>
      </c>
      <c r="L14" s="39" t="inlineStr">
        <is>
          <t>No link (keeps reach up)</t>
        </is>
      </c>
      <c r="M14" s="39" t="n">
        <v>1</v>
      </c>
      <c r="N14" s="42" t="inlineStr">
        <is>
          <t>Drafted</t>
        </is>
      </c>
      <c r="O14" s="42" t="inlineStr">
        <is>
          <t>Copy in 'Social posts: weeks 1–4' doc; images on the carousels page</t>
        </is>
      </c>
    </row>
    <row r="15" ht="45.75" customHeight="1" s="27">
      <c r="A15" s="39" t="n">
        <v>4</v>
      </c>
      <c r="B15" s="40">
        <f>'Weekly overview'!$B$5+(0)</f>
        <v/>
      </c>
      <c r="C15" s="39" t="inlineStr">
        <is>
          <t>Tue</t>
        </is>
      </c>
      <c r="D15" s="39" t="inlineStr">
        <is>
          <t>The smart manufacturing maturity model: you can't skip a level</t>
        </is>
      </c>
      <c r="E15" s="39" t="inlineStr">
        <is>
          <t>Smart Factory &amp; AI</t>
        </is>
      </c>
      <c r="F15" s="43" t="inlineStr">
        <is>
          <t>Article post</t>
        </is>
      </c>
      <c r="G15" s="43" t="inlineStr">
        <is>
          <t>You can't skip a level of smart manufacturing maturity. Most factories are trying to.</t>
        </is>
      </c>
      <c r="H15" s="39" t="inlineStr">
        <is>
          <t>• Five levels from paper-driven to AI-enabled
• Most factories sit between levels 1 and 3
• AI starts paying back around level 4, not before
• Use the model to decide your next step, not your end state</t>
        </is>
      </c>
      <c r="I15" s="39" t="inlineStr">
        <is>
          <t>Text post, 150–250 words. Article link in the FIRST COMMENT.</t>
        </is>
      </c>
      <c r="J15" s="39" t="inlineStr">
        <is>
          <t>Thread, 5–7 posts. Link in the last post.</t>
        </is>
      </c>
      <c r="K15" s="39" t="inlineStr">
        <is>
          <t>Carousel, 7–9 slides. 'Link in bio' on the last slide.</t>
        </is>
      </c>
      <c r="L15" s="44" t="inlineStr">
        <is>
          <t>https://www.mesmatters.com/post/smart-manufacturing-maturity-model</t>
        </is>
      </c>
      <c r="M15" s="39" t="n">
        <v>2</v>
      </c>
      <c r="N15" s="42" t="inlineStr">
        <is>
          <t>Drafted</t>
        </is>
      </c>
      <c r="O15" s="42" t="inlineStr">
        <is>
          <t>Copy in 'Social posts: weeks 1–4' doc; images on the carousels page</t>
        </is>
      </c>
    </row>
    <row r="16" ht="23.25" customHeight="1" s="27">
      <c r="A16" s="39" t="n">
        <v>4</v>
      </c>
      <c r="B16" s="40">
        <f>'Weekly overview'!$B$5+(2)</f>
        <v/>
      </c>
      <c r="C16" s="39" t="inlineStr">
        <is>
          <t>Thu</t>
        </is>
      </c>
      <c r="D16" s="39" t="inlineStr">
        <is>
          <t>The smart manufacturing maturity model: you can't skip a level</t>
        </is>
      </c>
      <c r="E16" s="39" t="inlineStr">
        <is>
          <t>Smart Factory &amp; AI</t>
        </is>
      </c>
      <c r="F16" s="39" t="inlineStr">
        <is>
          <t>Question / poll</t>
        </is>
      </c>
      <c r="G16" s="41" t="inlineStr">
        <is>
          <t>Be honest: what maturity level is your factory at today?</t>
        </is>
      </c>
      <c r="H16" s="39" t="inlineStr">
        <is>
          <t>• Poll: 1 Paper / 2 Spreadsheets / 3 Systems in silos / 4 Joined-up data
• Comment: what's blocking the next step?</t>
        </is>
      </c>
      <c r="I16" s="39" t="inlineStr">
        <is>
          <t>LinkedIn poll (1 week). Reply to comments.</t>
        </is>
      </c>
      <c r="J16" s="39" t="inlineStr">
        <is>
          <t>Poll.</t>
        </is>
      </c>
      <c r="K16" s="39" t="inlineStr">
        <is>
          <t>Story poll, plus a quote graphic in the feed.</t>
        </is>
      </c>
      <c r="L16" s="39" t="inlineStr">
        <is>
          <t>No link (keeps reach up)</t>
        </is>
      </c>
      <c r="M16" s="39" t="n">
        <v>3</v>
      </c>
      <c r="N16" s="42" t="inlineStr">
        <is>
          <t>Drafted</t>
        </is>
      </c>
      <c r="O16" s="42" t="inlineStr">
        <is>
          <t>Copy in 'Social posts: weeks 1–4' doc; images on the carousels page</t>
        </is>
      </c>
    </row>
    <row r="17" ht="34.5" customHeight="1" s="27">
      <c r="A17" s="39" t="n">
        <v>4</v>
      </c>
      <c r="B17" s="40">
        <f>'Weekly overview'!$B$5+(3)</f>
        <v/>
      </c>
      <c r="C17" s="39" t="inlineStr">
        <is>
          <t>Fri</t>
        </is>
      </c>
      <c r="D17" s="39" t="inlineStr">
        <is>
          <t>The smart manufacturing maturity model: you can't skip a level</t>
        </is>
      </c>
      <c r="E17" s="39" t="inlineStr">
        <is>
          <t>Smart Factory &amp; AI</t>
        </is>
      </c>
      <c r="F17" s="39" t="inlineStr">
        <is>
          <t>Contrarian take</t>
        </is>
      </c>
      <c r="G17" s="41" t="inlineStr">
        <is>
          <t>Buying AI before you've fixed your data is like fitting a turbo to a car with flat tyres.</t>
        </is>
      </c>
      <c r="H17" s="39" t="inlineStr">
        <is>
          <t>• Each level builds on the one before
• Skipping ahead means paying twice. Where would your money go further this year?</t>
        </is>
      </c>
      <c r="I17" s="39" t="inlineStr">
        <is>
          <t>Short text post, 50–120 words. No link.</t>
        </is>
      </c>
      <c r="J17" s="39" t="inlineStr">
        <is>
          <t>Single post.</t>
        </is>
      </c>
      <c r="K17" s="39" t="inlineStr">
        <is>
          <t>Carousel: the take on slide 1, the reasoning over 3–4 slides.</t>
        </is>
      </c>
      <c r="L17" s="39" t="inlineStr">
        <is>
          <t>No link (keeps reach up)</t>
        </is>
      </c>
      <c r="M17" s="39" t="n">
        <v>4</v>
      </c>
      <c r="N17" s="42" t="inlineStr">
        <is>
          <t>Drafted</t>
        </is>
      </c>
      <c r="O17" s="42" t="inlineStr">
        <is>
          <t>Copy in 'Social posts: weeks 1–4' doc; images on the carousels page</t>
        </is>
      </c>
    </row>
    <row r="18" ht="34.5" customHeight="1" s="27">
      <c r="A18" s="33" t="n">
        <v>5</v>
      </c>
      <c r="B18" s="34">
        <f>'Weekly overview'!$B$6+(-1)</f>
        <v/>
      </c>
      <c r="C18" s="33" t="inlineStr">
        <is>
          <t>Mon</t>
        </is>
      </c>
      <c r="D18" s="33" t="inlineStr">
        <is>
          <t>PLM, ERP and MES: where the digital thread actually runs</t>
        </is>
      </c>
      <c r="E18" s="33" t="inlineStr">
        <is>
          <t>Foundations</t>
        </is>
      </c>
      <c r="F18" s="33" t="inlineStr">
        <is>
          <t>Stat or framework</t>
        </is>
      </c>
      <c r="G18" s="35" t="inlineStr">
        <is>
          <t>The digital thread in one picture: PLM → ERP → MES/MOM → service, and back again.</t>
        </is>
      </c>
      <c r="H18" s="33" t="inlineStr">
        <is>
          <t>• Graphic: who owns what at each step
• The return path is the one most companies forget. Carousel version for Instagram</t>
        </is>
      </c>
      <c r="I18" s="33" t="inlineStr">
        <is>
          <t>Image or document carousel. No link.</t>
        </is>
      </c>
      <c r="J18" s="33" t="inlineStr">
        <is>
          <t>Single post with the image.</t>
        </is>
      </c>
      <c r="K18" s="33" t="inlineStr">
        <is>
          <t>Carousel, 5–7 slides.</t>
        </is>
      </c>
      <c r="L18" s="33" t="inlineStr">
        <is>
          <t>No link (keeps reach up)</t>
        </is>
      </c>
      <c r="M18" s="33" t="n">
        <v>1</v>
      </c>
      <c r="N18" s="36" t="inlineStr">
        <is>
          <t>Planned</t>
        </is>
      </c>
      <c r="O18" s="36" t="n"/>
    </row>
    <row r="19" ht="57" customHeight="1" s="27">
      <c r="A19" s="33" t="n">
        <v>5</v>
      </c>
      <c r="B19" s="34">
        <f>'Weekly overview'!$B$6+(0)</f>
        <v/>
      </c>
      <c r="C19" s="33" t="inlineStr">
        <is>
          <t>Tue</t>
        </is>
      </c>
      <c r="D19" s="33" t="inlineStr">
        <is>
          <t>PLM, ERP and MES: where the digital thread actually runs</t>
        </is>
      </c>
      <c r="E19" s="33" t="inlineStr">
        <is>
          <t>Foundations</t>
        </is>
      </c>
      <c r="F19" s="37" t="inlineStr">
        <is>
          <t>Article post</t>
        </is>
      </c>
      <c r="G19" s="37" t="inlineStr">
        <is>
          <t>Everyone talks about the digital thread. Few can tell you where it actually runs.</t>
        </is>
      </c>
      <c r="H19" s="33" t="inlineStr">
        <is>
          <t>• PLM owns the product definition
• ERP owns orders, cost and supply
• MES/MOM owns how it's actually made, and the as-built record
• ERP usually sits in the middle, and the hard part is engineering changes</t>
        </is>
      </c>
      <c r="I19" s="33" t="inlineStr">
        <is>
          <t>Text post, 150–250 words. Article link in the FIRST COMMENT.</t>
        </is>
      </c>
      <c r="J19" s="33" t="inlineStr">
        <is>
          <t>Thread, 5–7 posts. Link in the last post.</t>
        </is>
      </c>
      <c r="K19" s="33" t="inlineStr">
        <is>
          <t>Carousel, 7–9 slides. 'Link in bio' on the last slide.</t>
        </is>
      </c>
      <c r="L19" s="38" t="inlineStr">
        <is>
          <t>https://www.mesmatters.com/post/plm-erp-mes-digital-thread</t>
        </is>
      </c>
      <c r="M19" s="33" t="n">
        <v>2</v>
      </c>
      <c r="N19" s="36" t="inlineStr">
        <is>
          <t>Planned</t>
        </is>
      </c>
      <c r="O19" s="36" t="n"/>
    </row>
    <row r="20" ht="23.25" customHeight="1" s="27">
      <c r="A20" s="33" t="n">
        <v>5</v>
      </c>
      <c r="B20" s="34">
        <f>'Weekly overview'!$B$6+(2)</f>
        <v/>
      </c>
      <c r="C20" s="33" t="inlineStr">
        <is>
          <t>Thu</t>
        </is>
      </c>
      <c r="D20" s="33" t="inlineStr">
        <is>
          <t>PLM, ERP and MES: where the digital thread actually runs</t>
        </is>
      </c>
      <c r="E20" s="33" t="inlineStr">
        <is>
          <t>Foundations</t>
        </is>
      </c>
      <c r="F20" s="33" t="inlineStr">
        <is>
          <t>Question / poll</t>
        </is>
      </c>
      <c r="G20" s="35" t="inlineStr">
        <is>
          <t>Does engineering change data reach your operators before or after the first wrong part?</t>
        </is>
      </c>
      <c r="H20" s="33" t="inlineStr">
        <is>
          <t>• Poll: before / same day / after / we find out from quality
• Comment: how do changes reach your line today?</t>
        </is>
      </c>
      <c r="I20" s="33" t="inlineStr">
        <is>
          <t>LinkedIn poll (1 week). Reply to comments.</t>
        </is>
      </c>
      <c r="J20" s="33" t="inlineStr">
        <is>
          <t>Poll.</t>
        </is>
      </c>
      <c r="K20" s="33" t="inlineStr">
        <is>
          <t>Story poll, plus a quote graphic in the feed.</t>
        </is>
      </c>
      <c r="L20" s="33" t="inlineStr">
        <is>
          <t>No link (keeps reach up)</t>
        </is>
      </c>
      <c r="M20" s="33" t="n">
        <v>3</v>
      </c>
      <c r="N20" s="36" t="inlineStr">
        <is>
          <t>Planned</t>
        </is>
      </c>
      <c r="O20" s="36" t="n"/>
    </row>
    <row r="21" ht="34.5" customHeight="1" s="27">
      <c r="A21" s="33" t="n">
        <v>5</v>
      </c>
      <c r="B21" s="34">
        <f>'Weekly overview'!$B$6+(3)</f>
        <v/>
      </c>
      <c r="C21" s="33" t="inlineStr">
        <is>
          <t>Fri</t>
        </is>
      </c>
      <c r="D21" s="33" t="inlineStr">
        <is>
          <t>PLM, ERP and MES: where the digital thread actually runs</t>
        </is>
      </c>
      <c r="E21" s="33" t="inlineStr">
        <is>
          <t>Foundations</t>
        </is>
      </c>
      <c r="F21" s="33" t="inlineStr">
        <is>
          <t>Contrarian take</t>
        </is>
      </c>
      <c r="G21" s="35" t="inlineStr">
        <is>
          <t>A direct PLM to MES link isn't always the answer. Sometimes ERP in the middle is exactly right.</t>
        </is>
      </c>
      <c r="H21" s="33" t="inlineStr">
        <is>
          <t>• Direct links make sense for complex, fast-changing products
• For most, ERP holds effectivity and keeps everyone aligned. Choose based on change frequency, not fashion</t>
        </is>
      </c>
      <c r="I21" s="33" t="inlineStr">
        <is>
          <t>Short text post, 50–120 words. No link.</t>
        </is>
      </c>
      <c r="J21" s="33" t="inlineStr">
        <is>
          <t>Single post.</t>
        </is>
      </c>
      <c r="K21" s="33" t="inlineStr">
        <is>
          <t>Carousel: the take on slide 1, the reasoning over 3–4 slides.</t>
        </is>
      </c>
      <c r="L21" s="33" t="inlineStr">
        <is>
          <t>No link (keeps reach up)</t>
        </is>
      </c>
      <c r="M21" s="33" t="n">
        <v>4</v>
      </c>
      <c r="N21" s="36" t="inlineStr">
        <is>
          <t>Planned</t>
        </is>
      </c>
      <c r="O21" s="36" t="n"/>
    </row>
    <row r="22" ht="34.5" customHeight="1" s="27">
      <c r="A22" s="39" t="n">
        <v>6</v>
      </c>
      <c r="B22" s="40">
        <f>'Weekly overview'!$B$7+(-1)</f>
        <v/>
      </c>
      <c r="C22" s="39" t="inlineStr">
        <is>
          <t>Mon</t>
        </is>
      </c>
      <c r="D22" s="39" t="inlineStr">
        <is>
          <t>Shift handover is a process. Treat it like one.</t>
        </is>
      </c>
      <c r="E22" s="39" t="inlineStr">
        <is>
          <t>Smart Factory &amp; AI</t>
        </is>
      </c>
      <c r="F22" s="39" t="inlineStr">
        <is>
          <t>Story (your experience)</t>
        </is>
      </c>
      <c r="G22" s="41" t="inlineStr">
        <is>
          <t>Story prompt: the worst handover you've ever seen, and what it cost.</t>
        </is>
      </c>
      <c r="H22" s="39" t="inlineStr">
        <is>
          <t>• Your experience: a missed issue, a repeated fault, a safety near-miss
• What information was missing?. End: what does good look like in your plant?</t>
        </is>
      </c>
      <c r="I22" s="39" t="inlineStr">
        <is>
          <t>Story post, 150–250 words, from your own experience. No link.</t>
        </is>
      </c>
      <c r="J22" s="39" t="inlineStr">
        <is>
          <t>Short thread, 3–4 posts.</t>
        </is>
      </c>
      <c r="K22" s="39" t="inlineStr">
        <is>
          <t>Reel: 30–45 sec talking to camera.</t>
        </is>
      </c>
      <c r="L22" s="39" t="inlineStr">
        <is>
          <t>No link (keeps reach up)</t>
        </is>
      </c>
      <c r="M22" s="39" t="n">
        <v>1</v>
      </c>
      <c r="N22" s="42" t="inlineStr">
        <is>
          <t>Planned</t>
        </is>
      </c>
      <c r="O22" s="42" t="n"/>
    </row>
    <row r="23" ht="45.75" customHeight="1" s="27">
      <c r="A23" s="39" t="n">
        <v>6</v>
      </c>
      <c r="B23" s="40">
        <f>'Weekly overview'!$B$7+(0)</f>
        <v/>
      </c>
      <c r="C23" s="39" t="inlineStr">
        <is>
          <t>Tue</t>
        </is>
      </c>
      <c r="D23" s="39" t="inlineStr">
        <is>
          <t>Shift handover is a process. Treat it like one.</t>
        </is>
      </c>
      <c r="E23" s="39" t="inlineStr">
        <is>
          <t>Smart Factory &amp; AI</t>
        </is>
      </c>
      <c r="F23" s="43" t="inlineStr">
        <is>
          <t>Article post</t>
        </is>
      </c>
      <c r="G23" s="43" t="inlineStr">
        <is>
          <t>Shift handover is a process. Most factories treat it like a chat at the door.</t>
        </is>
      </c>
      <c r="H23" s="39" t="inlineStr">
        <is>
          <t>• Verbal handovers lose detail and the next crew starts blind
• A good handover answers a handful of specific questions
• Build it from real data, structured, not just typed
• Start this week, even before you change systems</t>
        </is>
      </c>
      <c r="I23" s="39" t="inlineStr">
        <is>
          <t>Text post, 150–250 words. Article link in the FIRST COMMENT.</t>
        </is>
      </c>
      <c r="J23" s="39" t="inlineStr">
        <is>
          <t>Thread, 5–7 posts. Link in the last post.</t>
        </is>
      </c>
      <c r="K23" s="39" t="inlineStr">
        <is>
          <t>Carousel, 7–9 slides. 'Link in bio' on the last slide.</t>
        </is>
      </c>
      <c r="L23" s="44" t="inlineStr">
        <is>
          <t>https://www.mesmatters.com/post/digital-shift-handover</t>
        </is>
      </c>
      <c r="M23" s="39" t="n">
        <v>2</v>
      </c>
      <c r="N23" s="42" t="inlineStr">
        <is>
          <t>Planned</t>
        </is>
      </c>
      <c r="O23" s="42" t="n"/>
    </row>
    <row r="24" ht="57" customHeight="1" s="27">
      <c r="A24" s="39" t="n">
        <v>6</v>
      </c>
      <c r="B24" s="40">
        <f>'Weekly overview'!$B$7+(2)</f>
        <v/>
      </c>
      <c r="C24" s="39" t="inlineStr">
        <is>
          <t>Thu</t>
        </is>
      </c>
      <c r="D24" s="39" t="inlineStr">
        <is>
          <t>Shift handover is a process. Treat it like one.</t>
        </is>
      </c>
      <c r="E24" s="39" t="inlineStr">
        <is>
          <t>Smart Factory &amp; AI</t>
        </is>
      </c>
      <c r="F24" s="39" t="inlineStr">
        <is>
          <t>Checklist</t>
        </is>
      </c>
      <c r="G24" s="41" t="inlineStr">
        <is>
          <t>Four questions every shift handover should answer.</t>
        </is>
      </c>
      <c r="H24" s="39" t="inlineStr">
        <is>
          <t>• What ran, and how did it perform?
• What stopped, and is it fixed?
• Any quality holds or open issues?
• What's planned, and what's at risk?
• Carousel: one question per slide</t>
        </is>
      </c>
      <c r="I24" s="39" t="inlineStr">
        <is>
          <t>Document carousel (PDF), one item per page.</t>
        </is>
      </c>
      <c r="J24" s="39" t="inlineStr">
        <is>
          <t>Thread, one item per post.</t>
        </is>
      </c>
      <c r="K24" s="39" t="inlineStr">
        <is>
          <t>Carousel, one item per slide.</t>
        </is>
      </c>
      <c r="L24" s="39" t="inlineStr">
        <is>
          <t>No link (keeps reach up)</t>
        </is>
      </c>
      <c r="M24" s="39" t="n">
        <v>3</v>
      </c>
      <c r="N24" s="42" t="inlineStr">
        <is>
          <t>Planned</t>
        </is>
      </c>
      <c r="O24" s="42" t="n"/>
    </row>
    <row r="25" ht="34.5" customHeight="1" s="27">
      <c r="A25" s="39" t="n">
        <v>6</v>
      </c>
      <c r="B25" s="40">
        <f>'Weekly overview'!$B$7+(3)</f>
        <v/>
      </c>
      <c r="C25" s="39" t="inlineStr">
        <is>
          <t>Fri</t>
        </is>
      </c>
      <c r="D25" s="39" t="inlineStr">
        <is>
          <t>Shift handover is a process. Treat it like one.</t>
        </is>
      </c>
      <c r="E25" s="39" t="inlineStr">
        <is>
          <t>Smart Factory &amp; AI</t>
        </is>
      </c>
      <c r="F25" s="39" t="inlineStr">
        <is>
          <t>Contrarian take</t>
        </is>
      </c>
      <c r="G25" s="41" t="inlineStr">
        <is>
          <t>A digital handover form that copies the paper one isn't a digital handover.</t>
        </is>
      </c>
      <c r="H25" s="39" t="inlineStr">
        <is>
          <t>• If people still retype what the system already knows, nothing improved
• Pre-fill from production data, then add what only people know. Structure beats free text, every time</t>
        </is>
      </c>
      <c r="I25" s="39" t="inlineStr">
        <is>
          <t>Short text post, 50–120 words. No link.</t>
        </is>
      </c>
      <c r="J25" s="39" t="inlineStr">
        <is>
          <t>Single post.</t>
        </is>
      </c>
      <c r="K25" s="39" t="inlineStr">
        <is>
          <t>Carousel: the take on slide 1, the reasoning over 3–4 slides.</t>
        </is>
      </c>
      <c r="L25" s="39" t="inlineStr">
        <is>
          <t>No link (keeps reach up)</t>
        </is>
      </c>
      <c r="M25" s="39" t="n">
        <v>4</v>
      </c>
      <c r="N25" s="42" t="inlineStr">
        <is>
          <t>Planned</t>
        </is>
      </c>
      <c r="O25" s="42" t="n"/>
    </row>
    <row r="26" ht="23.25" customHeight="1" s="27">
      <c r="A26" s="33" t="n">
        <v>7</v>
      </c>
      <c r="B26" s="34">
        <f>'Weekly overview'!$B$8+(-1)</f>
        <v/>
      </c>
      <c r="C26" s="33" t="inlineStr">
        <is>
          <t>Mon</t>
        </is>
      </c>
      <c r="D26" s="33" t="inlineStr">
        <is>
          <t>The smart factory tech stack, system by system</t>
        </is>
      </c>
      <c r="E26" s="33" t="inlineStr">
        <is>
          <t>Foundations</t>
        </is>
      </c>
      <c r="F26" s="33" t="inlineStr">
        <is>
          <t>Stat or framework</t>
        </is>
      </c>
      <c r="G26" s="35" t="inlineStr">
        <is>
          <t>The smart factory tech stack on one page.</t>
        </is>
      </c>
      <c r="H26" s="33" t="inlineStr">
        <is>
          <t>• Graphic: four layers, systems in each, arrows between them
• Save it for your next architecture review. Carousel: one layer per slide</t>
        </is>
      </c>
      <c r="I26" s="33" t="inlineStr">
        <is>
          <t>Image or document carousel. No link.</t>
        </is>
      </c>
      <c r="J26" s="33" t="inlineStr">
        <is>
          <t>Single post with the image.</t>
        </is>
      </c>
      <c r="K26" s="33" t="inlineStr">
        <is>
          <t>Carousel, 5–7 slides.</t>
        </is>
      </c>
      <c r="L26" s="33" t="inlineStr">
        <is>
          <t>No link (keeps reach up)</t>
        </is>
      </c>
      <c r="M26" s="33" t="n">
        <v>1</v>
      </c>
      <c r="N26" s="36" t="inlineStr">
        <is>
          <t>Planned</t>
        </is>
      </c>
      <c r="O26" s="36" t="n"/>
    </row>
    <row r="27" ht="57" customHeight="1" s="27">
      <c r="A27" s="33" t="n">
        <v>7</v>
      </c>
      <c r="B27" s="34">
        <f>'Weekly overview'!$B$8+(0)</f>
        <v/>
      </c>
      <c r="C27" s="33" t="inlineStr">
        <is>
          <t>Tue</t>
        </is>
      </c>
      <c r="D27" s="33" t="inlineStr">
        <is>
          <t>The smart factory tech stack, system by system</t>
        </is>
      </c>
      <c r="E27" s="33" t="inlineStr">
        <is>
          <t>Foundations</t>
        </is>
      </c>
      <c r="F27" s="37" t="inlineStr">
        <is>
          <t>Article post</t>
        </is>
      </c>
      <c r="G27" s="37" t="inlineStr">
        <is>
          <t>ERP, PLM, APS, MES, WMS, CMMS, LIMS, historians. Who does what?</t>
        </is>
      </c>
      <c r="H27" s="33" t="inlineStr">
        <is>
          <t>• The enterprise layer, the operations layer, the connectivity layer and the data layer
• Where the boundaries sit, and why overlaps cost money
• Questions to ask about every system you own
• The article walks through it system by system</t>
        </is>
      </c>
      <c r="I27" s="33" t="inlineStr">
        <is>
          <t>Text post, 150–250 words. Article link in the FIRST COMMENT.</t>
        </is>
      </c>
      <c r="J27" s="33" t="inlineStr">
        <is>
          <t>Thread, 5–7 posts. Link in the last post.</t>
        </is>
      </c>
      <c r="K27" s="33" t="inlineStr">
        <is>
          <t>Carousel, 7–9 slides. 'Link in bio' on the last slide.</t>
        </is>
      </c>
      <c r="L27" s="38" t="inlineStr">
        <is>
          <t>https://www.mesmatters.com/post/smart-factory-tech-stack</t>
        </is>
      </c>
      <c r="M27" s="33" t="n">
        <v>2</v>
      </c>
      <c r="N27" s="36" t="inlineStr">
        <is>
          <t>Planned</t>
        </is>
      </c>
      <c r="O27" s="36" t="n"/>
    </row>
    <row r="28" ht="23.25" customHeight="1" s="27">
      <c r="A28" s="33" t="n">
        <v>7</v>
      </c>
      <c r="B28" s="34">
        <f>'Weekly overview'!$B$8+(2)</f>
        <v/>
      </c>
      <c r="C28" s="33" t="inlineStr">
        <is>
          <t>Thu</t>
        </is>
      </c>
      <c r="D28" s="33" t="inlineStr">
        <is>
          <t>The smart factory tech stack, system by system</t>
        </is>
      </c>
      <c r="E28" s="33" t="inlineStr">
        <is>
          <t>Foundations</t>
        </is>
      </c>
      <c r="F28" s="33" t="inlineStr">
        <is>
          <t>Question / poll</t>
        </is>
      </c>
      <c r="G28" s="35" t="inlineStr">
        <is>
          <t>Which boundary causes the most arguments in your organisation?</t>
        </is>
      </c>
      <c r="H28" s="33" t="inlineStr">
        <is>
          <t>• Poll: ERP vs MES / MES vs WMS / MES vs CMMS / MES vs QMS
• Comment with your war story</t>
        </is>
      </c>
      <c r="I28" s="33" t="inlineStr">
        <is>
          <t>LinkedIn poll (1 week). Reply to comments.</t>
        </is>
      </c>
      <c r="J28" s="33" t="inlineStr">
        <is>
          <t>Poll.</t>
        </is>
      </c>
      <c r="K28" s="33" t="inlineStr">
        <is>
          <t>Story poll, plus a quote graphic in the feed.</t>
        </is>
      </c>
      <c r="L28" s="33" t="inlineStr">
        <is>
          <t>No link (keeps reach up)</t>
        </is>
      </c>
      <c r="M28" s="33" t="n">
        <v>3</v>
      </c>
      <c r="N28" s="36" t="inlineStr">
        <is>
          <t>Planned</t>
        </is>
      </c>
      <c r="O28" s="36" t="n"/>
    </row>
    <row r="29" ht="34.5" customHeight="1" s="27">
      <c r="A29" s="33" t="n">
        <v>7</v>
      </c>
      <c r="B29" s="34">
        <f>'Weekly overview'!$B$8+(3)</f>
        <v/>
      </c>
      <c r="C29" s="33" t="inlineStr">
        <is>
          <t>Fri</t>
        </is>
      </c>
      <c r="D29" s="33" t="inlineStr">
        <is>
          <t>The smart factory tech stack, system by system</t>
        </is>
      </c>
      <c r="E29" s="33" t="inlineStr">
        <is>
          <t>Foundations</t>
        </is>
      </c>
      <c r="F29" s="33" t="inlineStr">
        <is>
          <t>Contrarian take</t>
        </is>
      </c>
      <c r="G29" s="35" t="inlineStr">
        <is>
          <t>You don't need every acronym in the stack. You need clear ownership of every piece of data.</t>
        </is>
      </c>
      <c r="H29" s="33" t="inlineStr">
        <is>
          <t>• Two systems owning the same data is where projects go wrong
• Decide the system of record before you buy. Fewer systems, clearer boundaries</t>
        </is>
      </c>
      <c r="I29" s="33" t="inlineStr">
        <is>
          <t>Short text post, 50–120 words. No link.</t>
        </is>
      </c>
      <c r="J29" s="33" t="inlineStr">
        <is>
          <t>Single post.</t>
        </is>
      </c>
      <c r="K29" s="33" t="inlineStr">
        <is>
          <t>Carousel: the take on slide 1, the reasoning over 3–4 slides.</t>
        </is>
      </c>
      <c r="L29" s="33" t="inlineStr">
        <is>
          <t>No link (keeps reach up)</t>
        </is>
      </c>
      <c r="M29" s="33" t="n">
        <v>4</v>
      </c>
      <c r="N29" s="36" t="inlineStr">
        <is>
          <t>Planned</t>
        </is>
      </c>
      <c r="O29" s="36" t="n"/>
    </row>
    <row r="30" ht="34.5" customHeight="1" s="27">
      <c r="A30" s="39" t="n">
        <v>8</v>
      </c>
      <c r="B30" s="40">
        <f>'Weekly overview'!$B$9+(-1)</f>
        <v/>
      </c>
      <c r="C30" s="39" t="inlineStr">
        <is>
          <t>Mon</t>
        </is>
      </c>
      <c r="D30" s="39" t="inlineStr">
        <is>
          <t>MES vs MOM: why the difference matters when you buy</t>
        </is>
      </c>
      <c r="E30" s="39" t="inlineStr">
        <is>
          <t>Foundations</t>
        </is>
      </c>
      <c r="F30" s="39" t="inlineStr">
        <is>
          <t>Analogy</t>
        </is>
      </c>
      <c r="G30" s="41" t="inlineStr">
        <is>
          <t>MES is one instrument. MOM is the orchestra.</t>
        </is>
      </c>
      <c r="H30" s="39" t="inlineStr">
        <is>
          <t>• Production on its own can sound great
• But quality, inventory and maintenance have to play from the same score. Separate systems per pillar means four conductors</t>
        </is>
      </c>
      <c r="I30" s="39" t="inlineStr">
        <is>
          <t>Short text post, 50–120 words. No link.</t>
        </is>
      </c>
      <c r="J30" s="39" t="inlineStr">
        <is>
          <t>Single post.</t>
        </is>
      </c>
      <c r="K30" s="39" t="inlineStr">
        <is>
          <t>Quote graphic.</t>
        </is>
      </c>
      <c r="L30" s="39" t="inlineStr">
        <is>
          <t>No link (keeps reach up)</t>
        </is>
      </c>
      <c r="M30" s="39" t="n">
        <v>1</v>
      </c>
      <c r="N30" s="42" t="inlineStr">
        <is>
          <t>Planned</t>
        </is>
      </c>
      <c r="O30" s="42" t="n"/>
    </row>
    <row r="31" ht="45.75" customHeight="1" s="27">
      <c r="A31" s="39" t="n">
        <v>8</v>
      </c>
      <c r="B31" s="40">
        <f>'Weekly overview'!$B$9+(0)</f>
        <v/>
      </c>
      <c r="C31" s="39" t="inlineStr">
        <is>
          <t>Tue</t>
        </is>
      </c>
      <c r="D31" s="39" t="inlineStr">
        <is>
          <t>MES vs MOM: why the difference matters when you buy</t>
        </is>
      </c>
      <c r="E31" s="39" t="inlineStr">
        <is>
          <t>Foundations</t>
        </is>
      </c>
      <c r="F31" s="43" t="inlineStr">
        <is>
          <t>Article post</t>
        </is>
      </c>
      <c r="G31" s="43" t="inlineStr">
        <is>
          <t>MES and MOM are used interchangeably. They shouldn't be, especially when you're buying.</t>
        </is>
      </c>
      <c r="H31" s="39" t="inlineStr">
        <is>
          <t>• MES is production execution: orders, counts, scrap, downtime, OEE
• MOM covers production, quality, inventory and maintenance
• The value is everyone working on the same data
• The risk: a different system per pillar, stitched together</t>
        </is>
      </c>
      <c r="I31" s="39" t="inlineStr">
        <is>
          <t>Text post, 150–250 words. Article link in the FIRST COMMENT.</t>
        </is>
      </c>
      <c r="J31" s="39" t="inlineStr">
        <is>
          <t>Thread, 5–7 posts. Link in the last post.</t>
        </is>
      </c>
      <c r="K31" s="39" t="inlineStr">
        <is>
          <t>Carousel, 7–9 slides. 'Link in bio' on the last slide.</t>
        </is>
      </c>
      <c r="L31" s="44" t="inlineStr">
        <is>
          <t>https://www.mesmatters.com/post/mes-vs-mom</t>
        </is>
      </c>
      <c r="M31" s="39" t="n">
        <v>2</v>
      </c>
      <c r="N31" s="42" t="inlineStr">
        <is>
          <t>Planned</t>
        </is>
      </c>
      <c r="O31" s="42" t="n"/>
    </row>
    <row r="32" ht="23.25" customHeight="1" s="27">
      <c r="A32" s="39" t="n">
        <v>8</v>
      </c>
      <c r="B32" s="40">
        <f>'Weekly overview'!$B$9+(2)</f>
        <v/>
      </c>
      <c r="C32" s="39" t="inlineStr">
        <is>
          <t>Thu</t>
        </is>
      </c>
      <c r="D32" s="39" t="inlineStr">
        <is>
          <t>MES vs MOM: why the difference matters when you buy</t>
        </is>
      </c>
      <c r="E32" s="39" t="inlineStr">
        <is>
          <t>Foundations</t>
        </is>
      </c>
      <c r="F32" s="39" t="inlineStr">
        <is>
          <t>Question / poll</t>
        </is>
      </c>
      <c r="G32" s="41" t="inlineStr">
        <is>
          <t>How many systems run production, quality, inventory and maintenance in your factory?</t>
        </is>
      </c>
      <c r="H32" s="39" t="inlineStr">
        <is>
          <t>• Poll: 1 / 2 / 3–4 / More than 4
• Comment: where does data fall between the cracks?</t>
        </is>
      </c>
      <c r="I32" s="39" t="inlineStr">
        <is>
          <t>LinkedIn poll (1 week). Reply to comments.</t>
        </is>
      </c>
      <c r="J32" s="39" t="inlineStr">
        <is>
          <t>Poll.</t>
        </is>
      </c>
      <c r="K32" s="39" t="inlineStr">
        <is>
          <t>Story poll, plus a quote graphic in the feed.</t>
        </is>
      </c>
      <c r="L32" s="39" t="inlineStr">
        <is>
          <t>No link (keeps reach up)</t>
        </is>
      </c>
      <c r="M32" s="39" t="n">
        <v>3</v>
      </c>
      <c r="N32" s="42" t="inlineStr">
        <is>
          <t>Planned</t>
        </is>
      </c>
      <c r="O32" s="42" t="n"/>
    </row>
    <row r="33" ht="45.75" customHeight="1" s="27">
      <c r="A33" s="39" t="n">
        <v>8</v>
      </c>
      <c r="B33" s="40">
        <f>'Weekly overview'!$B$9+(3)</f>
        <v/>
      </c>
      <c r="C33" s="39" t="inlineStr">
        <is>
          <t>Fri</t>
        </is>
      </c>
      <c r="D33" s="39" t="inlineStr">
        <is>
          <t>MES vs MOM: why the difference matters when you buy</t>
        </is>
      </c>
      <c r="E33" s="39" t="inlineStr">
        <is>
          <t>Foundations</t>
        </is>
      </c>
      <c r="F33" s="39" t="inlineStr">
        <is>
          <t>Checklist</t>
        </is>
      </c>
      <c r="G33" s="41" t="inlineStr">
        <is>
          <t>Four questions to ask any vendor who says they 'do MOM'.</t>
        </is>
      </c>
      <c r="H33" s="39" t="inlineStr">
        <is>
          <t>• Which pillars are native, and which are partner products?
• Is it one data model or several integrated ones?
• Can a quality hold stop a production order instantly?
• Show me, don't tell me</t>
        </is>
      </c>
      <c r="I33" s="39" t="inlineStr">
        <is>
          <t>Document carousel (PDF), one item per page.</t>
        </is>
      </c>
      <c r="J33" s="39" t="inlineStr">
        <is>
          <t>Thread, one item per post.</t>
        </is>
      </c>
      <c r="K33" s="39" t="inlineStr">
        <is>
          <t>Carousel, one item per slide.</t>
        </is>
      </c>
      <c r="L33" s="39" t="inlineStr">
        <is>
          <t>No link (keeps reach up)</t>
        </is>
      </c>
      <c r="M33" s="39" t="n">
        <v>4</v>
      </c>
      <c r="N33" s="42" t="inlineStr">
        <is>
          <t>Planned</t>
        </is>
      </c>
      <c r="O33" s="42" t="n"/>
    </row>
    <row r="34" ht="23.25" customHeight="1" s="27">
      <c r="A34" s="33" t="n">
        <v>9</v>
      </c>
      <c r="B34" s="34">
        <f>'Weekly overview'!$B$10+(-1)</f>
        <v/>
      </c>
      <c r="C34" s="33" t="inlineStr">
        <is>
          <t>Mon</t>
        </is>
      </c>
      <c r="D34" s="33" t="inlineStr">
        <is>
          <t>EBOM, MBOM, as-built: who owns the BOM at each stage</t>
        </is>
      </c>
      <c r="E34" s="33" t="inlineStr">
        <is>
          <t>Foundations</t>
        </is>
      </c>
      <c r="F34" s="33" t="inlineStr">
        <is>
          <t>Stat or framework</t>
        </is>
      </c>
      <c r="G34" s="35" t="inlineStr">
        <is>
          <t>EBOM → MBOM → order BOM → as-built. One graphic, four owners.</t>
        </is>
      </c>
      <c r="H34" s="33" t="inlineStr">
        <is>
          <t>• Graphic: the BOM's journey from engineering to shipment
• Label the system of record at each stage. Carousel for Instagram</t>
        </is>
      </c>
      <c r="I34" s="33" t="inlineStr">
        <is>
          <t>Image or document carousel. No link.</t>
        </is>
      </c>
      <c r="J34" s="33" t="inlineStr">
        <is>
          <t>Single post with the image.</t>
        </is>
      </c>
      <c r="K34" s="33" t="inlineStr">
        <is>
          <t>Carousel, 5–7 slides.</t>
        </is>
      </c>
      <c r="L34" s="33" t="inlineStr">
        <is>
          <t>No link (keeps reach up)</t>
        </is>
      </c>
      <c r="M34" s="33" t="n">
        <v>1</v>
      </c>
      <c r="N34" s="36" t="inlineStr">
        <is>
          <t>Planned</t>
        </is>
      </c>
      <c r="O34" s="36" t="n"/>
    </row>
    <row r="35" ht="57" customHeight="1" s="27">
      <c r="A35" s="33" t="n">
        <v>9</v>
      </c>
      <c r="B35" s="34">
        <f>'Weekly overview'!$B$10+(0)</f>
        <v/>
      </c>
      <c r="C35" s="33" t="inlineStr">
        <is>
          <t>Tue</t>
        </is>
      </c>
      <c r="D35" s="33" t="inlineStr">
        <is>
          <t>EBOM, MBOM, as-built: who owns the BOM at each stage</t>
        </is>
      </c>
      <c r="E35" s="33" t="inlineStr">
        <is>
          <t>Foundations</t>
        </is>
      </c>
      <c r="F35" s="37" t="inlineStr">
        <is>
          <t>Article post</t>
        </is>
      </c>
      <c r="G35" s="37" t="inlineStr">
        <is>
          <t>A bill of materials changes shape four times before a product ships. Who owns it at each stage?</t>
        </is>
      </c>
      <c r="H35" s="33" t="inlineStr">
        <is>
          <t>• EBOM in PLM, MBOM in ERP, order BOM for the job, as-built in MES/MOM
• Problems start where ownership is unclear
• The as-built record is the one you'll need in a recall
• Article: who owns what, and where it goes wrong</t>
        </is>
      </c>
      <c r="I35" s="33" t="inlineStr">
        <is>
          <t>Text post, 150–250 words. Article link in the FIRST COMMENT.</t>
        </is>
      </c>
      <c r="J35" s="33" t="inlineStr">
        <is>
          <t>Thread, 5–7 posts. Link in the last post.</t>
        </is>
      </c>
      <c r="K35" s="33" t="inlineStr">
        <is>
          <t>Carousel, 7–9 slides. 'Link in bio' on the last slide.</t>
        </is>
      </c>
      <c r="L35" s="38" t="inlineStr">
        <is>
          <t>https://www.mesmatters.com/post/ebom-mbom-as-built</t>
        </is>
      </c>
      <c r="M35" s="33" t="n">
        <v>2</v>
      </c>
      <c r="N35" s="36" t="inlineStr">
        <is>
          <t>Planned</t>
        </is>
      </c>
      <c r="O35" s="36" t="n"/>
    </row>
    <row r="36" ht="34.5" customHeight="1" s="27">
      <c r="A36" s="33" t="n">
        <v>9</v>
      </c>
      <c r="B36" s="34">
        <f>'Weekly overview'!$B$10+(2)</f>
        <v/>
      </c>
      <c r="C36" s="33" t="inlineStr">
        <is>
          <t>Thu</t>
        </is>
      </c>
      <c r="D36" s="33" t="inlineStr">
        <is>
          <t>EBOM, MBOM, as-built: who owns the BOM at each stage</t>
        </is>
      </c>
      <c r="E36" s="33" t="inlineStr">
        <is>
          <t>Foundations</t>
        </is>
      </c>
      <c r="F36" s="33" t="inlineStr">
        <is>
          <t>Question / poll</t>
        </is>
      </c>
      <c r="G36" s="35" t="inlineStr">
        <is>
          <t>Where does BOM data go wrong most often in your business?</t>
        </is>
      </c>
      <c r="H36" s="33" t="inlineStr">
        <is>
          <t>• Poll: EBOM to MBOM / MBOM to order / order to as-built / we don't capture as-built
• Comment with an example</t>
        </is>
      </c>
      <c r="I36" s="33" t="inlineStr">
        <is>
          <t>LinkedIn poll (1 week). Reply to comments.</t>
        </is>
      </c>
      <c r="J36" s="33" t="inlineStr">
        <is>
          <t>Poll.</t>
        </is>
      </c>
      <c r="K36" s="33" t="inlineStr">
        <is>
          <t>Story poll, plus a quote graphic in the feed.</t>
        </is>
      </c>
      <c r="L36" s="33" t="inlineStr">
        <is>
          <t>No link (keeps reach up)</t>
        </is>
      </c>
      <c r="M36" s="33" t="n">
        <v>3</v>
      </c>
      <c r="N36" s="36" t="inlineStr">
        <is>
          <t>Planned</t>
        </is>
      </c>
      <c r="O36" s="36" t="n"/>
    </row>
    <row r="37" ht="34.5" customHeight="1" s="27">
      <c r="A37" s="33" t="n">
        <v>9</v>
      </c>
      <c r="B37" s="34">
        <f>'Weekly overview'!$B$10+(3)</f>
        <v/>
      </c>
      <c r="C37" s="33" t="inlineStr">
        <is>
          <t>Fri</t>
        </is>
      </c>
      <c r="D37" s="33" t="inlineStr">
        <is>
          <t>EBOM, MBOM, as-built: who owns the BOM at each stage</t>
        </is>
      </c>
      <c r="E37" s="33" t="inlineStr">
        <is>
          <t>Foundations</t>
        </is>
      </c>
      <c r="F37" s="33" t="inlineStr">
        <is>
          <t>Contrarian take</t>
        </is>
      </c>
      <c r="G37" s="35" t="inlineStr">
        <is>
          <t>If you can't produce an as-built record in minutes, you don't have traceability. You have a parts list.</t>
        </is>
      </c>
      <c r="H37" s="33" t="inlineStr">
        <is>
          <t>• What was planned and what was built are different things
• Substitutions, rework and serial numbers live in MES/MOM. Ask: how long would a recall investigation take today?</t>
        </is>
      </c>
      <c r="I37" s="33" t="inlineStr">
        <is>
          <t>Short text post, 50–120 words. No link.</t>
        </is>
      </c>
      <c r="J37" s="33" t="inlineStr">
        <is>
          <t>Single post.</t>
        </is>
      </c>
      <c r="K37" s="33" t="inlineStr">
        <is>
          <t>Carousel: the take on slide 1, the reasoning over 3–4 slides.</t>
        </is>
      </c>
      <c r="L37" s="33" t="inlineStr">
        <is>
          <t>No link (keeps reach up)</t>
        </is>
      </c>
      <c r="M37" s="33" t="n">
        <v>4</v>
      </c>
      <c r="N37" s="36" t="inlineStr">
        <is>
          <t>Planned</t>
        </is>
      </c>
      <c r="O37" s="36" t="n"/>
    </row>
    <row r="38" ht="34.5" customHeight="1" s="27">
      <c r="A38" s="39" t="n">
        <v>10</v>
      </c>
      <c r="B38" s="40">
        <f>'Weekly overview'!$B$11+(-1)</f>
        <v/>
      </c>
      <c r="C38" s="39" t="inlineStr">
        <is>
          <t>Mon</t>
        </is>
      </c>
      <c r="D38" s="39" t="inlineStr">
        <is>
          <t>Raw machine data is worthless. Context is what makes it useful</t>
        </is>
      </c>
      <c r="E38" s="39" t="inlineStr">
        <is>
          <t>Smart Factory &amp; AI</t>
        </is>
      </c>
      <c r="F38" s="39" t="inlineStr">
        <is>
          <t>Analogy</t>
        </is>
      </c>
      <c r="G38" s="41" t="inlineStr">
        <is>
          <t>A machine signal without context is like a heart rate without knowing if someone is sleeping or sprinting.</t>
        </is>
      </c>
      <c r="H38" s="39" t="inlineStr">
        <is>
          <t>• Same number, completely different meaning
• MES/MOM adds the 'what was happening' around every signal. That's the difference between data and a decision</t>
        </is>
      </c>
      <c r="I38" s="39" t="inlineStr">
        <is>
          <t>Short text post, 50–120 words. No link.</t>
        </is>
      </c>
      <c r="J38" s="39" t="inlineStr">
        <is>
          <t>Single post.</t>
        </is>
      </c>
      <c r="K38" s="39" t="inlineStr">
        <is>
          <t>Quote graphic.</t>
        </is>
      </c>
      <c r="L38" s="39" t="inlineStr">
        <is>
          <t>No link (keeps reach up)</t>
        </is>
      </c>
      <c r="M38" s="39" t="n">
        <v>1</v>
      </c>
      <c r="N38" s="42" t="inlineStr">
        <is>
          <t>Planned</t>
        </is>
      </c>
      <c r="O38" s="42" t="n"/>
    </row>
    <row r="39" ht="45.75" customHeight="1" s="27">
      <c r="A39" s="39" t="n">
        <v>10</v>
      </c>
      <c r="B39" s="40">
        <f>'Weekly overview'!$B$11+(0)</f>
        <v/>
      </c>
      <c r="C39" s="39" t="inlineStr">
        <is>
          <t>Tue</t>
        </is>
      </c>
      <c r="D39" s="39" t="inlineStr">
        <is>
          <t>Raw machine data is worthless. Context is what makes it useful</t>
        </is>
      </c>
      <c r="E39" s="39" t="inlineStr">
        <is>
          <t>Smart Factory &amp; AI</t>
        </is>
      </c>
      <c r="F39" s="43" t="inlineStr">
        <is>
          <t>Article post</t>
        </is>
      </c>
      <c r="G39" s="43" t="inlineStr">
        <is>
          <t>Raw machine data is worthless. Context is what makes it useful.</t>
        </is>
      </c>
      <c r="H39" s="39" t="inlineStr">
        <is>
          <t>• A signal that says 'stopped' tells you nothing on its own
• Order, product, operator, reason and tool turn it into information
• Point solutions lose that context at every boundary
• Context is also what AI really needs</t>
        </is>
      </c>
      <c r="I39" s="39" t="inlineStr">
        <is>
          <t>Text post, 150–250 words. Article link in the FIRST COMMENT.</t>
        </is>
      </c>
      <c r="J39" s="39" t="inlineStr">
        <is>
          <t>Thread, 5–7 posts. Link in the last post.</t>
        </is>
      </c>
      <c r="K39" s="39" t="inlineStr">
        <is>
          <t>Carousel, 7–9 slides. 'Link in bio' on the last slide.</t>
        </is>
      </c>
      <c r="L39" s="44" t="inlineStr">
        <is>
          <t>https://www.mesmatters.com/post/contextualised-manufacturing-data</t>
        </is>
      </c>
      <c r="M39" s="39" t="n">
        <v>2</v>
      </c>
      <c r="N39" s="42" t="inlineStr">
        <is>
          <t>Planned</t>
        </is>
      </c>
      <c r="O39" s="42" t="n"/>
    </row>
    <row r="40" ht="45.75" customHeight="1" s="27">
      <c r="A40" s="39" t="n">
        <v>10</v>
      </c>
      <c r="B40" s="40">
        <f>'Weekly overview'!$B$11+(2)</f>
        <v/>
      </c>
      <c r="C40" s="39" t="inlineStr">
        <is>
          <t>Thu</t>
        </is>
      </c>
      <c r="D40" s="39" t="inlineStr">
        <is>
          <t>Raw machine data is worthless. Context is what makes it useful</t>
        </is>
      </c>
      <c r="E40" s="39" t="inlineStr">
        <is>
          <t>Smart Factory &amp; AI</t>
        </is>
      </c>
      <c r="F40" s="39" t="inlineStr">
        <is>
          <t>Stat or framework</t>
        </is>
      </c>
      <c r="G40" s="41" t="inlineStr">
        <is>
          <t>From signal to decision in four steps.</t>
        </is>
      </c>
      <c r="H40" s="39" t="inlineStr">
        <is>
          <t>• Signal: Machine 3 stopped
• Context: order 4471, tool T-114, night shift
• Insight: the same tool causes most rejects
• Decision: replace the tool. Carousel walk-through</t>
        </is>
      </c>
      <c r="I40" s="39" t="inlineStr">
        <is>
          <t>Image or document carousel. No link.</t>
        </is>
      </c>
      <c r="J40" s="39" t="inlineStr">
        <is>
          <t>Single post with the image.</t>
        </is>
      </c>
      <c r="K40" s="39" t="inlineStr">
        <is>
          <t>Carousel, 5–7 slides.</t>
        </is>
      </c>
      <c r="L40" s="39" t="inlineStr">
        <is>
          <t>No link (keeps reach up)</t>
        </is>
      </c>
      <c r="M40" s="39" t="n">
        <v>3</v>
      </c>
      <c r="N40" s="42" t="inlineStr">
        <is>
          <t>Planned</t>
        </is>
      </c>
      <c r="O40" s="42" t="n"/>
    </row>
    <row r="41" ht="34.5" customHeight="1" s="27">
      <c r="A41" s="39" t="n">
        <v>10</v>
      </c>
      <c r="B41" s="40">
        <f>'Weekly overview'!$B$11+(3)</f>
        <v/>
      </c>
      <c r="C41" s="39" t="inlineStr">
        <is>
          <t>Fri</t>
        </is>
      </c>
      <c r="D41" s="39" t="inlineStr">
        <is>
          <t>Raw machine data is worthless. Context is what makes it useful</t>
        </is>
      </c>
      <c r="E41" s="39" t="inlineStr">
        <is>
          <t>Smart Factory &amp; AI</t>
        </is>
      </c>
      <c r="F41" s="39" t="inlineStr">
        <is>
          <t>Question / poll</t>
        </is>
      </c>
      <c r="G41" s="41" t="inlineStr">
        <is>
          <t>Where does most of your shopfloor data lose its context?</t>
        </is>
      </c>
      <c r="H41" s="39" t="inlineStr">
        <is>
          <t>• Poll: machine to historian / historian to reports / between departments / it never had any
• Comment: what's the fix?</t>
        </is>
      </c>
      <c r="I41" s="39" t="inlineStr">
        <is>
          <t>LinkedIn poll (1 week). Reply to comments.</t>
        </is>
      </c>
      <c r="J41" s="39" t="inlineStr">
        <is>
          <t>Poll.</t>
        </is>
      </c>
      <c r="K41" s="39" t="inlineStr">
        <is>
          <t>Story poll, plus a quote graphic in the feed.</t>
        </is>
      </c>
      <c r="L41" s="39" t="inlineStr">
        <is>
          <t>No link (keeps reach up)</t>
        </is>
      </c>
      <c r="M41" s="39" t="n">
        <v>4</v>
      </c>
      <c r="N41" s="42" t="inlineStr">
        <is>
          <t>Planned</t>
        </is>
      </c>
      <c r="O41" s="42" t="n"/>
    </row>
    <row r="42" ht="34.5" customHeight="1" s="27">
      <c r="A42" s="33" t="n">
        <v>11</v>
      </c>
      <c r="B42" s="34">
        <f>'Weekly overview'!$B$12+(-1)</f>
        <v/>
      </c>
      <c r="C42" s="33" t="inlineStr">
        <is>
          <t>Mon</t>
        </is>
      </c>
      <c r="D42" s="33" t="inlineStr">
        <is>
          <t>How to build an MES business case leadership will sign</t>
        </is>
      </c>
      <c r="E42" s="33" t="inlineStr">
        <is>
          <t>Implementation</t>
        </is>
      </c>
      <c r="F42" s="33" t="inlineStr">
        <is>
          <t>Question / poll</t>
        </is>
      </c>
      <c r="G42" s="35" t="inlineStr">
        <is>
          <t>What's the real blocker on your MES business case?</t>
        </is>
      </c>
      <c r="H42" s="33" t="inlineStr">
        <is>
          <t>• Poll: no data to prove ROI / leadership doesn't see urgency / investment too big / tried before and failed
• Comment: what would change their mind?</t>
        </is>
      </c>
      <c r="I42" s="33" t="inlineStr">
        <is>
          <t>LinkedIn poll (1 week). Reply to comments.</t>
        </is>
      </c>
      <c r="J42" s="33" t="inlineStr">
        <is>
          <t>Poll.</t>
        </is>
      </c>
      <c r="K42" s="33" t="inlineStr">
        <is>
          <t>Story poll, plus a quote graphic in the feed.</t>
        </is>
      </c>
      <c r="L42" s="33" t="inlineStr">
        <is>
          <t>No link (keeps reach up)</t>
        </is>
      </c>
      <c r="M42" s="33" t="n">
        <v>1</v>
      </c>
      <c r="N42" s="36" t="inlineStr">
        <is>
          <t>Planned</t>
        </is>
      </c>
      <c r="O42" s="36" t="n"/>
    </row>
    <row r="43" ht="45.75" customHeight="1" s="27">
      <c r="A43" s="33" t="n">
        <v>11</v>
      </c>
      <c r="B43" s="34">
        <f>'Weekly overview'!$B$12+(0)</f>
        <v/>
      </c>
      <c r="C43" s="33" t="inlineStr">
        <is>
          <t>Tue</t>
        </is>
      </c>
      <c r="D43" s="33" t="inlineStr">
        <is>
          <t>How to build an MES business case leadership will sign</t>
        </is>
      </c>
      <c r="E43" s="33" t="inlineStr">
        <is>
          <t>Implementation</t>
        </is>
      </c>
      <c r="F43" s="37" t="inlineStr">
        <is>
          <t>Article post</t>
        </is>
      </c>
      <c r="G43" s="37" t="inlineStr">
        <is>
          <t>Your factory runs on paper and Excel. Your leadership hasn't approved the fix. Here's why.</t>
        </is>
      </c>
      <c r="H43" s="33" t="inlineStr">
        <is>
          <t>• Business cases fail when they talk features, not impact
• Structure it around cost, risk and the cost of doing nothing
• Use the 1% question
• Don't promise everything on day one</t>
        </is>
      </c>
      <c r="I43" s="33" t="inlineStr">
        <is>
          <t>Text post, 150–250 words. Article link in the FIRST COMMENT.</t>
        </is>
      </c>
      <c r="J43" s="33" t="inlineStr">
        <is>
          <t>Thread, 5–7 posts. Link in the last post.</t>
        </is>
      </c>
      <c r="K43" s="33" t="inlineStr">
        <is>
          <t>Carousel, 7–9 slides. 'Link in bio' on the last slide.</t>
        </is>
      </c>
      <c r="L43" s="38" t="inlineStr">
        <is>
          <t>https://www.mesmatters.com/post/mes-business-case</t>
        </is>
      </c>
      <c r="M43" s="33" t="n">
        <v>2</v>
      </c>
      <c r="N43" s="36" t="inlineStr">
        <is>
          <t>Planned</t>
        </is>
      </c>
      <c r="O43" s="36" t="n"/>
    </row>
    <row r="44" ht="34.5" customHeight="1" s="27">
      <c r="A44" s="33" t="n">
        <v>11</v>
      </c>
      <c r="B44" s="34">
        <f>'Weekly overview'!$B$12+(2)</f>
        <v/>
      </c>
      <c r="C44" s="33" t="inlineStr">
        <is>
          <t>Thu</t>
        </is>
      </c>
      <c r="D44" s="33" t="inlineStr">
        <is>
          <t>How to build an MES business case leadership will sign</t>
        </is>
      </c>
      <c r="E44" s="33" t="inlineStr">
        <is>
          <t>Implementation</t>
        </is>
      </c>
      <c r="F44" s="33" t="inlineStr">
        <is>
          <t>Stat or framework</t>
        </is>
      </c>
      <c r="G44" s="35" t="inlineStr">
        <is>
          <t>The 1% question: what would a 1% OEE improvement on your bottleneck be worth?</t>
        </is>
      </c>
      <c r="H44" s="33" t="inlineStr">
        <is>
          <t>• Work it out: extra output, less overtime, deferred capex
• For most manufacturers it's a big number. Put that number on slide one</t>
        </is>
      </c>
      <c r="I44" s="33" t="inlineStr">
        <is>
          <t>Image or document carousel. No link.</t>
        </is>
      </c>
      <c r="J44" s="33" t="inlineStr">
        <is>
          <t>Single post with the image.</t>
        </is>
      </c>
      <c r="K44" s="33" t="inlineStr">
        <is>
          <t>Carousel, 5–7 slides.</t>
        </is>
      </c>
      <c r="L44" s="33" t="inlineStr">
        <is>
          <t>No link (keeps reach up)</t>
        </is>
      </c>
      <c r="M44" s="33" t="n">
        <v>3</v>
      </c>
      <c r="N44" s="36" t="inlineStr">
        <is>
          <t>Planned</t>
        </is>
      </c>
      <c r="O44" s="36" t="n"/>
    </row>
    <row r="45" ht="34.5" customHeight="1" s="27">
      <c r="A45" s="33" t="n">
        <v>11</v>
      </c>
      <c r="B45" s="34">
        <f>'Weekly overview'!$B$12+(3)</f>
        <v/>
      </c>
      <c r="C45" s="33" t="inlineStr">
        <is>
          <t>Fri</t>
        </is>
      </c>
      <c r="D45" s="33" t="inlineStr">
        <is>
          <t>How to build an MES business case leadership will sign</t>
        </is>
      </c>
      <c r="E45" s="33" t="inlineStr">
        <is>
          <t>Implementation</t>
        </is>
      </c>
      <c r="F45" s="33" t="inlineStr">
        <is>
          <t>Contrarian take</t>
        </is>
      </c>
      <c r="G45" s="35" t="inlineStr">
        <is>
          <t>'We can't prove the ROI' usually means 'we haven't measured what bad looks like today'.</t>
        </is>
      </c>
      <c r="H45" s="33" t="inlineStr">
        <is>
          <t>• Baseline your scrap, downtime and admin hours first
• The cost of doing nothing is a number too. Build the case from your data, not a vendor's brochure</t>
        </is>
      </c>
      <c r="I45" s="33" t="inlineStr">
        <is>
          <t>Short text post, 50–120 words. No link.</t>
        </is>
      </c>
      <c r="J45" s="33" t="inlineStr">
        <is>
          <t>Single post.</t>
        </is>
      </c>
      <c r="K45" s="33" t="inlineStr">
        <is>
          <t>Carousel: the take on slide 1, the reasoning over 3–4 slides.</t>
        </is>
      </c>
      <c r="L45" s="33" t="inlineStr">
        <is>
          <t>No link (keeps reach up)</t>
        </is>
      </c>
      <c r="M45" s="33" t="n">
        <v>4</v>
      </c>
      <c r="N45" s="36" t="inlineStr">
        <is>
          <t>Planned</t>
        </is>
      </c>
      <c r="O45" s="36" t="n"/>
    </row>
    <row r="46" ht="23.25" customHeight="1" s="27">
      <c r="A46" s="39" t="n">
        <v>12</v>
      </c>
      <c r="B46" s="40">
        <f>'Weekly overview'!$B$13+(-1)</f>
        <v/>
      </c>
      <c r="C46" s="39" t="inlineStr">
        <is>
          <t>Mon</t>
        </is>
      </c>
      <c r="D46" s="39" t="inlineStr">
        <is>
          <t>The biggest barriers to MES success in food manufacturing</t>
        </is>
      </c>
      <c r="E46" s="39" t="inlineStr">
        <is>
          <t>Implementation</t>
        </is>
      </c>
      <c r="F46" s="39" t="inlineStr">
        <is>
          <t>Story (your experience)</t>
        </is>
      </c>
      <c r="G46" s="41" t="inlineStr">
        <is>
          <t>Story prompt: a food or beverage project that stumbled, and why.</t>
        </is>
      </c>
      <c r="H46" s="39" t="inlineStr">
        <is>
          <t>• Your experience: what went wrong first, people, scope or data?
• What would you do differently?. End: advice for anyone starting now</t>
        </is>
      </c>
      <c r="I46" s="39" t="inlineStr">
        <is>
          <t>Story post, 150–250 words, from your own experience. No link.</t>
        </is>
      </c>
      <c r="J46" s="39" t="inlineStr">
        <is>
          <t>Short thread, 3–4 posts.</t>
        </is>
      </c>
      <c r="K46" s="39" t="inlineStr">
        <is>
          <t>Reel: 30–45 sec talking to camera.</t>
        </is>
      </c>
      <c r="L46" s="39" t="inlineStr">
        <is>
          <t>No link (keeps reach up)</t>
        </is>
      </c>
      <c r="M46" s="39" t="n">
        <v>1</v>
      </c>
      <c r="N46" s="42" t="inlineStr">
        <is>
          <t>Planned</t>
        </is>
      </c>
      <c r="O46" s="42" t="n"/>
    </row>
    <row r="47" ht="45.75" customHeight="1" s="27">
      <c r="A47" s="39" t="n">
        <v>12</v>
      </c>
      <c r="B47" s="40">
        <f>'Weekly overview'!$B$13+(0)</f>
        <v/>
      </c>
      <c r="C47" s="39" t="inlineStr">
        <is>
          <t>Tue</t>
        </is>
      </c>
      <c r="D47" s="39" t="inlineStr">
        <is>
          <t>The biggest barriers to MES success in food manufacturing</t>
        </is>
      </c>
      <c r="E47" s="39" t="inlineStr">
        <is>
          <t>Implementation</t>
        </is>
      </c>
      <c r="F47" s="43" t="inlineStr">
        <is>
          <t>Article post</t>
        </is>
      </c>
      <c r="G47" s="43" t="inlineStr">
        <is>
          <t>Food manufacturers rarely fail at MES because of the technology.</t>
        </is>
      </c>
      <c r="H47" s="39" t="inlineStr">
        <is>
          <t>• People are the biggest risk, not software
• Starting too big, too fast
• Underestimating the master data foundation
• Choosing a platform built for a different industry</t>
        </is>
      </c>
      <c r="I47" s="39" t="inlineStr">
        <is>
          <t>Text post, 150–250 words. Article link in the FIRST COMMENT.</t>
        </is>
      </c>
      <c r="J47" s="39" t="inlineStr">
        <is>
          <t>Thread, 5–7 posts. Link in the last post.</t>
        </is>
      </c>
      <c r="K47" s="39" t="inlineStr">
        <is>
          <t>Carousel, 7–9 slides. 'Link in bio' on the last slide.</t>
        </is>
      </c>
      <c r="L47" s="44" t="inlineStr">
        <is>
          <t>https://www.mesmatters.com/post/food-manufacturing-mes-barriers</t>
        </is>
      </c>
      <c r="M47" s="39" t="n">
        <v>2</v>
      </c>
      <c r="N47" s="42" t="inlineStr">
        <is>
          <t>Planned</t>
        </is>
      </c>
      <c r="O47" s="42" t="n"/>
    </row>
    <row r="48" ht="45.75" customHeight="1" s="27">
      <c r="A48" s="39" t="n">
        <v>12</v>
      </c>
      <c r="B48" s="40">
        <f>'Weekly overview'!$B$13+(2)</f>
        <v/>
      </c>
      <c r="C48" s="39" t="inlineStr">
        <is>
          <t>Thu</t>
        </is>
      </c>
      <c r="D48" s="39" t="inlineStr">
        <is>
          <t>The biggest barriers to MES success in food manufacturing</t>
        </is>
      </c>
      <c r="E48" s="39" t="inlineStr">
        <is>
          <t>Implementation</t>
        </is>
      </c>
      <c r="F48" s="39" t="inlineStr">
        <is>
          <t>Checklist</t>
        </is>
      </c>
      <c r="G48" s="41" t="inlineStr">
        <is>
          <t>Four questions for any food manufacturer starting an MES project.</t>
        </is>
      </c>
      <c r="H48" s="39" t="inlineStr">
        <is>
          <t>• Who on the shopfloor owns adoption?
• Is your first scope one line or the whole site?
• Are recipes and specs clean enough to digitise?
• Does the platform handle yield, give-away and shelf life?</t>
        </is>
      </c>
      <c r="I48" s="39" t="inlineStr">
        <is>
          <t>Document carousel (PDF), one item per page.</t>
        </is>
      </c>
      <c r="J48" s="39" t="inlineStr">
        <is>
          <t>Thread, one item per post.</t>
        </is>
      </c>
      <c r="K48" s="39" t="inlineStr">
        <is>
          <t>Carousel, one item per slide.</t>
        </is>
      </c>
      <c r="L48" s="39" t="inlineStr">
        <is>
          <t>No link (keeps reach up)</t>
        </is>
      </c>
      <c r="M48" s="39" t="n">
        <v>3</v>
      </c>
      <c r="N48" s="42" t="inlineStr">
        <is>
          <t>Planned</t>
        </is>
      </c>
      <c r="O48" s="42" t="n"/>
    </row>
    <row r="49" ht="34.5" customHeight="1" s="27">
      <c r="A49" s="39" t="n">
        <v>12</v>
      </c>
      <c r="B49" s="40">
        <f>'Weekly overview'!$B$13+(3)</f>
        <v/>
      </c>
      <c r="C49" s="39" t="inlineStr">
        <is>
          <t>Fri</t>
        </is>
      </c>
      <c r="D49" s="39" t="inlineStr">
        <is>
          <t>The biggest barriers to MES success in food manufacturing</t>
        </is>
      </c>
      <c r="E49" s="39" t="inlineStr">
        <is>
          <t>Implementation</t>
        </is>
      </c>
      <c r="F49" s="39" t="inlineStr">
        <is>
          <t>Question / poll</t>
        </is>
      </c>
      <c r="G49" s="41" t="inlineStr">
        <is>
          <t>What's the biggest challenge on your food production lines?</t>
        </is>
      </c>
      <c r="H49" s="39" t="inlineStr">
        <is>
          <t>• Poll: yield and give-away / traceability / labour and skills / compliance paperwork
• Comment with your top one</t>
        </is>
      </c>
      <c r="I49" s="39" t="inlineStr">
        <is>
          <t>LinkedIn poll (1 week). Reply to comments.</t>
        </is>
      </c>
      <c r="J49" s="39" t="inlineStr">
        <is>
          <t>Poll.</t>
        </is>
      </c>
      <c r="K49" s="39" t="inlineStr">
        <is>
          <t>Story poll, plus a quote graphic in the feed.</t>
        </is>
      </c>
      <c r="L49" s="39" t="inlineStr">
        <is>
          <t>No link (keeps reach up)</t>
        </is>
      </c>
      <c r="M49" s="39" t="n">
        <v>4</v>
      </c>
      <c r="N49" s="42" t="inlineStr">
        <is>
          <t>Planned</t>
        </is>
      </c>
      <c r="O49" s="42" t="n"/>
    </row>
    <row r="50" ht="23.25" customHeight="1" s="27">
      <c r="A50" s="33" t="n">
        <v>13</v>
      </c>
      <c r="B50" s="34">
        <f>'Weekly overview'!$B$14+(-1)</f>
        <v/>
      </c>
      <c r="C50" s="33" t="inlineStr">
        <is>
          <t>Mon</t>
        </is>
      </c>
      <c r="D50" s="33" t="inlineStr">
        <is>
          <t>From CPQ to the shopfloor: building what the customer actually configured</t>
        </is>
      </c>
      <c r="E50" s="33" t="inlineStr">
        <is>
          <t>Foundations</t>
        </is>
      </c>
      <c r="F50" s="33" t="inlineStr">
        <is>
          <t>Stat or framework</t>
        </is>
      </c>
      <c r="G50" s="35" t="inlineStr">
        <is>
          <t>CPQ → ERP → (PLM) → MES/MOM: how a configuration reaches the line.</t>
        </is>
      </c>
      <c r="H50" s="33" t="inlineStr">
        <is>
          <t>• Graphic: configure-to-order vs engineer-to-order paths
• Where each system adds detail. Carousel</t>
        </is>
      </c>
      <c r="I50" s="33" t="inlineStr">
        <is>
          <t>Image or document carousel. No link.</t>
        </is>
      </c>
      <c r="J50" s="33" t="inlineStr">
        <is>
          <t>Single post with the image.</t>
        </is>
      </c>
      <c r="K50" s="33" t="inlineStr">
        <is>
          <t>Carousel, 5–7 slides.</t>
        </is>
      </c>
      <c r="L50" s="33" t="inlineStr">
        <is>
          <t>No link (keeps reach up)</t>
        </is>
      </c>
      <c r="M50" s="33" t="n">
        <v>1</v>
      </c>
      <c r="N50" s="36" t="inlineStr">
        <is>
          <t>Planned</t>
        </is>
      </c>
      <c r="O50" s="36" t="n"/>
    </row>
    <row r="51" ht="45.75" customHeight="1" s="27">
      <c r="A51" s="33" t="n">
        <v>13</v>
      </c>
      <c r="B51" s="34">
        <f>'Weekly overview'!$B$14+(0)</f>
        <v/>
      </c>
      <c r="C51" s="33" t="inlineStr">
        <is>
          <t>Tue</t>
        </is>
      </c>
      <c r="D51" s="33" t="inlineStr">
        <is>
          <t>From CPQ to the shopfloor: building what the customer actually configured</t>
        </is>
      </c>
      <c r="E51" s="33" t="inlineStr">
        <is>
          <t>Foundations</t>
        </is>
      </c>
      <c r="F51" s="37" t="inlineStr">
        <is>
          <t>Article post</t>
        </is>
      </c>
      <c r="G51" s="37" t="inlineStr">
        <is>
          <t>The customer configured it in CPQ. Does your operator know what to build?</t>
        </is>
      </c>
      <c r="H51" s="33" t="inlineStr">
        <is>
          <t>• Configured products start in CPQ and flow through ERP
• Engineer-to-order adds PLM to the mix
• The operator needs the configuration, not a generic routing
• Close the loop so as-built matches what was sold</t>
        </is>
      </c>
      <c r="I51" s="33" t="inlineStr">
        <is>
          <t>Text post, 150–250 words. Article link in the FIRST COMMENT.</t>
        </is>
      </c>
      <c r="J51" s="33" t="inlineStr">
        <is>
          <t>Thread, 5–7 posts. Link in the last post.</t>
        </is>
      </c>
      <c r="K51" s="33" t="inlineStr">
        <is>
          <t>Carousel, 7–9 slides. 'Link in bio' on the last slide.</t>
        </is>
      </c>
      <c r="L51" s="38" t="inlineStr">
        <is>
          <t>https://www.mesmatters.com/post/cpq-to-shopfloor</t>
        </is>
      </c>
      <c r="M51" s="33" t="n">
        <v>2</v>
      </c>
      <c r="N51" s="36" t="inlineStr">
        <is>
          <t>Planned</t>
        </is>
      </c>
      <c r="O51" s="36" t="n"/>
    </row>
    <row r="52" ht="34.5" customHeight="1" s="27">
      <c r="A52" s="33" t="n">
        <v>13</v>
      </c>
      <c r="B52" s="34">
        <f>'Weekly overview'!$B$14+(2)</f>
        <v/>
      </c>
      <c r="C52" s="33" t="inlineStr">
        <is>
          <t>Thu</t>
        </is>
      </c>
      <c r="D52" s="33" t="inlineStr">
        <is>
          <t>From CPQ to the shopfloor: building what the customer actually configured</t>
        </is>
      </c>
      <c r="E52" s="33" t="inlineStr">
        <is>
          <t>Foundations</t>
        </is>
      </c>
      <c r="F52" s="33" t="inlineStr">
        <is>
          <t>Question / poll</t>
        </is>
      </c>
      <c r="G52" s="35" t="inlineStr">
        <is>
          <t>How do operators see order-specific options in your factory?</t>
        </is>
      </c>
      <c r="H52" s="33" t="inlineStr">
        <is>
          <t>• Poll: on screen per order / printed traveller / generic instruction + notes / they ask someone
• Comment with your approach</t>
        </is>
      </c>
      <c r="I52" s="33" t="inlineStr">
        <is>
          <t>LinkedIn poll (1 week). Reply to comments.</t>
        </is>
      </c>
      <c r="J52" s="33" t="inlineStr">
        <is>
          <t>Poll.</t>
        </is>
      </c>
      <c r="K52" s="33" t="inlineStr">
        <is>
          <t>Story poll, plus a quote graphic in the feed.</t>
        </is>
      </c>
      <c r="L52" s="33" t="inlineStr">
        <is>
          <t>No link (keeps reach up)</t>
        </is>
      </c>
      <c r="M52" s="33" t="n">
        <v>3</v>
      </c>
      <c r="N52" s="36" t="inlineStr">
        <is>
          <t>Planned</t>
        </is>
      </c>
      <c r="O52" s="36" t="n"/>
    </row>
    <row r="53" ht="34.5" customHeight="1" s="27">
      <c r="A53" s="33" t="n">
        <v>13</v>
      </c>
      <c r="B53" s="34">
        <f>'Weekly overview'!$B$14+(3)</f>
        <v/>
      </c>
      <c r="C53" s="33" t="inlineStr">
        <is>
          <t>Fri</t>
        </is>
      </c>
      <c r="D53" s="33" t="inlineStr">
        <is>
          <t>From CPQ to the shopfloor: building what the customer actually configured</t>
        </is>
      </c>
      <c r="E53" s="33" t="inlineStr">
        <is>
          <t>Foundations</t>
        </is>
      </c>
      <c r="F53" s="33" t="inlineStr">
        <is>
          <t>Contrarian take</t>
        </is>
      </c>
      <c r="G53" s="35" t="inlineStr">
        <is>
          <t>If your operators work from a generic routing on a configured product, the configuration ends at the sales team.</t>
        </is>
      </c>
      <c r="H53" s="33" t="inlineStr">
        <is>
          <t>• Errors creep in between quote and build
• Show the operator exactly what this order needs. Error-proof the options, not just the parts</t>
        </is>
      </c>
      <c r="I53" s="33" t="inlineStr">
        <is>
          <t>Short text post, 50–120 words. No link.</t>
        </is>
      </c>
      <c r="J53" s="33" t="inlineStr">
        <is>
          <t>Single post.</t>
        </is>
      </c>
      <c r="K53" s="33" t="inlineStr">
        <is>
          <t>Carousel: the take on slide 1, the reasoning over 3–4 slides.</t>
        </is>
      </c>
      <c r="L53" s="33" t="inlineStr">
        <is>
          <t>No link (keeps reach up)</t>
        </is>
      </c>
      <c r="M53" s="33" t="n">
        <v>4</v>
      </c>
      <c r="N53" s="36" t="inlineStr">
        <is>
          <t>Planned</t>
        </is>
      </c>
      <c r="O53" s="36" t="n"/>
    </row>
    <row r="54" ht="34.5" customHeight="1" s="27">
      <c r="A54" s="39" t="n">
        <v>14</v>
      </c>
      <c r="B54" s="40">
        <f>'Weekly overview'!$B$15+(-1)</f>
        <v/>
      </c>
      <c r="C54" s="39" t="inlineStr">
        <is>
          <t>Mon</t>
        </is>
      </c>
      <c r="D54" s="39" t="inlineStr">
        <is>
          <t>Skills you can enforce, not just record</t>
        </is>
      </c>
      <c r="E54" s="39" t="inlineStr">
        <is>
          <t>Smart Factory &amp; AI</t>
        </is>
      </c>
      <c r="F54" s="39" t="inlineStr">
        <is>
          <t>Question / poll</t>
        </is>
      </c>
      <c r="G54" s="41" t="inlineStr">
        <is>
          <t>How does your factory stop an untrained operator starting a job?</t>
        </is>
      </c>
      <c r="H54" s="39" t="inlineStr">
        <is>
          <t>• Poll: the system blocks it / supervisor checks / we trust people / we find out at audit
• Comment: be honest</t>
        </is>
      </c>
      <c r="I54" s="39" t="inlineStr">
        <is>
          <t>LinkedIn poll (1 week). Reply to comments.</t>
        </is>
      </c>
      <c r="J54" s="39" t="inlineStr">
        <is>
          <t>Poll.</t>
        </is>
      </c>
      <c r="K54" s="39" t="inlineStr">
        <is>
          <t>Story poll, plus a quote graphic in the feed.</t>
        </is>
      </c>
      <c r="L54" s="39" t="inlineStr">
        <is>
          <t>No link (keeps reach up)</t>
        </is>
      </c>
      <c r="M54" s="39" t="n">
        <v>1</v>
      </c>
      <c r="N54" s="42" t="inlineStr">
        <is>
          <t>Planned</t>
        </is>
      </c>
      <c r="O54" s="42" t="n"/>
    </row>
    <row r="55" ht="45.75" customHeight="1" s="27">
      <c r="A55" s="39" t="n">
        <v>14</v>
      </c>
      <c r="B55" s="40">
        <f>'Weekly overview'!$B$15+(0)</f>
        <v/>
      </c>
      <c r="C55" s="39" t="inlineStr">
        <is>
          <t>Tue</t>
        </is>
      </c>
      <c r="D55" s="39" t="inlineStr">
        <is>
          <t>Skills you can enforce, not just record</t>
        </is>
      </c>
      <c r="E55" s="39" t="inlineStr">
        <is>
          <t>Smart Factory &amp; AI</t>
        </is>
      </c>
      <c r="F55" s="43" t="inlineStr">
        <is>
          <t>Article post</t>
        </is>
      </c>
      <c r="G55" s="43" t="inlineStr">
        <is>
          <t>Your skills matrix lives in a spreadsheet nobody checks at the point of work.</t>
        </is>
      </c>
      <c r="H55" s="39" t="inlineStr">
        <is>
          <t>• Recording skills is not enforcing them
• The system should stop the wrong person starting the wrong job
• Expiring certifications need warnings, not audits
• It belongs inside MES/MOM, where the work happens</t>
        </is>
      </c>
      <c r="I55" s="39" t="inlineStr">
        <is>
          <t>Text post, 150–250 words. Article link in the FIRST COMMENT.</t>
        </is>
      </c>
      <c r="J55" s="39" t="inlineStr">
        <is>
          <t>Thread, 5–7 posts. Link in the last post.</t>
        </is>
      </c>
      <c r="K55" s="39" t="inlineStr">
        <is>
          <t>Carousel, 7–9 slides. 'Link in bio' on the last slide.</t>
        </is>
      </c>
      <c r="L55" s="44" t="inlineStr">
        <is>
          <t>https://www.mesmatters.com/post/skills-enforcement-shopfloor</t>
        </is>
      </c>
      <c r="M55" s="39" t="n">
        <v>2</v>
      </c>
      <c r="N55" s="42" t="inlineStr">
        <is>
          <t>Planned</t>
        </is>
      </c>
      <c r="O55" s="42" t="n"/>
    </row>
    <row r="56" ht="34.5" customHeight="1" s="27">
      <c r="A56" s="39" t="n">
        <v>14</v>
      </c>
      <c r="B56" s="40">
        <f>'Weekly overview'!$B$15+(2)</f>
        <v/>
      </c>
      <c r="C56" s="39" t="inlineStr">
        <is>
          <t>Thu</t>
        </is>
      </c>
      <c r="D56" s="39" t="inlineStr">
        <is>
          <t>Skills you can enforce, not just record</t>
        </is>
      </c>
      <c r="E56" s="39" t="inlineStr">
        <is>
          <t>Smart Factory &amp; AI</t>
        </is>
      </c>
      <c r="F56" s="39" t="inlineStr">
        <is>
          <t>Contrarian take</t>
        </is>
      </c>
      <c r="G56" s="41" t="inlineStr">
        <is>
          <t>A skills matrix that can't block a job is a report, not a control.</t>
        </is>
      </c>
      <c r="H56" s="39" t="inlineStr">
        <is>
          <t>• Audits find the gaps months later
• Enforcement at the point of work prevents the defect. Simple test: try logging in to a job you're not trained for</t>
        </is>
      </c>
      <c r="I56" s="39" t="inlineStr">
        <is>
          <t>Short text post, 50–120 words. No link.</t>
        </is>
      </c>
      <c r="J56" s="39" t="inlineStr">
        <is>
          <t>Single post.</t>
        </is>
      </c>
      <c r="K56" s="39" t="inlineStr">
        <is>
          <t>Carousel: the take on slide 1, the reasoning over 3–4 slides.</t>
        </is>
      </c>
      <c r="L56" s="39" t="inlineStr">
        <is>
          <t>No link (keeps reach up)</t>
        </is>
      </c>
      <c r="M56" s="39" t="n">
        <v>3</v>
      </c>
      <c r="N56" s="42" t="inlineStr">
        <is>
          <t>Planned</t>
        </is>
      </c>
      <c r="O56" s="42" t="n"/>
    </row>
    <row r="57" ht="34.5" customHeight="1" s="27">
      <c r="A57" s="39" t="n">
        <v>14</v>
      </c>
      <c r="B57" s="40">
        <f>'Weekly overview'!$B$15+(3)</f>
        <v/>
      </c>
      <c r="C57" s="39" t="inlineStr">
        <is>
          <t>Fri</t>
        </is>
      </c>
      <c r="D57" s="39" t="inlineStr">
        <is>
          <t>Skills you can enforce, not just record</t>
        </is>
      </c>
      <c r="E57" s="39" t="inlineStr">
        <is>
          <t>Smart Factory &amp; AI</t>
        </is>
      </c>
      <c r="F57" s="39" t="inlineStr">
        <is>
          <t>Story (your experience)</t>
        </is>
      </c>
      <c r="G57" s="41" t="inlineStr">
        <is>
          <t>Story prompt: a quality or safety issue that came down to someone doing a job they weren't trained for.</t>
        </is>
      </c>
      <c r="H57" s="39" t="inlineStr">
        <is>
          <t>• Your experience, anonymised
• What would a system check have changed?. End: how do you handle skills today?</t>
        </is>
      </c>
      <c r="I57" s="39" t="inlineStr">
        <is>
          <t>Story post, 150–250 words, from your own experience. No link.</t>
        </is>
      </c>
      <c r="J57" s="39" t="inlineStr">
        <is>
          <t>Short thread, 3–4 posts.</t>
        </is>
      </c>
      <c r="K57" s="39" t="inlineStr">
        <is>
          <t>Reel: 30–45 sec talking to camera.</t>
        </is>
      </c>
      <c r="L57" s="39" t="inlineStr">
        <is>
          <t>No link (keeps reach up)</t>
        </is>
      </c>
      <c r="M57" s="39" t="n">
        <v>4</v>
      </c>
      <c r="N57" s="42" t="inlineStr">
        <is>
          <t>Planned</t>
        </is>
      </c>
      <c r="O57" s="42" t="n"/>
    </row>
    <row r="58" ht="23.25" customHeight="1" s="27">
      <c r="A58" s="33" t="n">
        <v>15</v>
      </c>
      <c r="B58" s="34">
        <f>'Weekly overview'!$B$16+(-1)</f>
        <v/>
      </c>
      <c r="C58" s="33" t="inlineStr">
        <is>
          <t>Mon</t>
        </is>
      </c>
      <c r="D58" s="33" t="inlineStr">
        <is>
          <t>Practical GenAI for the shopfloor: four uses that save time today</t>
        </is>
      </c>
      <c r="E58" s="33" t="inlineStr">
        <is>
          <t>Smart Factory &amp; AI</t>
        </is>
      </c>
      <c r="F58" s="33" t="inlineStr">
        <is>
          <t>Contrarian take</t>
        </is>
      </c>
      <c r="G58" s="35" t="inlineStr">
        <is>
          <t>GenAI won't fix a factory that can't tell you what ran last night.</t>
        </is>
      </c>
      <c r="H58" s="33" t="inlineStr">
        <is>
          <t>• It summarises and explains. It doesn't invent missing data
• Garbage in, beautifully written garbage out</t>
        </is>
      </c>
      <c r="I58" s="33" t="inlineStr">
        <is>
          <t>Short text post, 50–120 words. No link.</t>
        </is>
      </c>
      <c r="J58" s="33" t="inlineStr">
        <is>
          <t>Single post.</t>
        </is>
      </c>
      <c r="K58" s="33" t="inlineStr">
        <is>
          <t>Carousel: the take on slide 1, the reasoning over 3–4 slides.</t>
        </is>
      </c>
      <c r="L58" s="33" t="inlineStr">
        <is>
          <t>No link (keeps reach up)</t>
        </is>
      </c>
      <c r="M58" s="33" t="n">
        <v>1</v>
      </c>
      <c r="N58" s="36" t="inlineStr">
        <is>
          <t>Planned</t>
        </is>
      </c>
      <c r="O58" s="36" t="n"/>
    </row>
    <row r="59" ht="45.75" customHeight="1" s="27">
      <c r="A59" s="33" t="n">
        <v>15</v>
      </c>
      <c r="B59" s="34">
        <f>'Weekly overview'!$B$16+(0)</f>
        <v/>
      </c>
      <c r="C59" s="33" t="inlineStr">
        <is>
          <t>Tue</t>
        </is>
      </c>
      <c r="D59" s="33" t="inlineStr">
        <is>
          <t>Practical GenAI for the shopfloor: four uses that save time today</t>
        </is>
      </c>
      <c r="E59" s="33" t="inlineStr">
        <is>
          <t>Smart Factory &amp; AI</t>
        </is>
      </c>
      <c r="F59" s="37" t="inlineStr">
        <is>
          <t>Article post</t>
        </is>
      </c>
      <c r="G59" s="37" t="inlineStr">
        <is>
          <t>Forget the hype. Here are four ways GenAI saves time in factories today.</t>
        </is>
      </c>
      <c r="H59" s="33" t="inlineStr">
        <is>
          <t>• Asking questions of your data in plain English
• Helping configure systems faster
• A knowledge assistant on every screen
• Shift summaries written for you, if the data underneath is good</t>
        </is>
      </c>
      <c r="I59" s="33" t="inlineStr">
        <is>
          <t>Text post, 150–250 words. Article link in the FIRST COMMENT.</t>
        </is>
      </c>
      <c r="J59" s="33" t="inlineStr">
        <is>
          <t>Thread, 5–7 posts. Link in the last post.</t>
        </is>
      </c>
      <c r="K59" s="33" t="inlineStr">
        <is>
          <t>Carousel, 7–9 slides. 'Link in bio' on the last slide.</t>
        </is>
      </c>
      <c r="L59" s="38" t="inlineStr">
        <is>
          <t>https://www.mesmatters.com/post/practical-genai-for-the-shopfloor</t>
        </is>
      </c>
      <c r="M59" s="33" t="n">
        <v>2</v>
      </c>
      <c r="N59" s="36" t="inlineStr">
        <is>
          <t>Planned</t>
        </is>
      </c>
      <c r="O59" s="36" t="n"/>
    </row>
    <row r="60" ht="23.25" customHeight="1" s="27">
      <c r="A60" s="33" t="n">
        <v>15</v>
      </c>
      <c r="B60" s="34">
        <f>'Weekly overview'!$B$16+(2)</f>
        <v/>
      </c>
      <c r="C60" s="33" t="inlineStr">
        <is>
          <t>Thu</t>
        </is>
      </c>
      <c r="D60" s="33" t="inlineStr">
        <is>
          <t>Practical GenAI for the shopfloor: four uses that save time today</t>
        </is>
      </c>
      <c r="E60" s="33" t="inlineStr">
        <is>
          <t>Smart Factory &amp; AI</t>
        </is>
      </c>
      <c r="F60" s="33" t="inlineStr">
        <is>
          <t>Question / poll</t>
        </is>
      </c>
      <c r="G60" s="35" t="inlineStr">
        <is>
          <t>Would your operators trust an AI answer on the shopfloor?</t>
        </is>
      </c>
      <c r="H60" s="33" t="inlineStr">
        <is>
          <t>• Poll: yes / only if it shows its sources / not yet / never
• Comment: what would earn that trust?</t>
        </is>
      </c>
      <c r="I60" s="33" t="inlineStr">
        <is>
          <t>LinkedIn poll (1 week). Reply to comments.</t>
        </is>
      </c>
      <c r="J60" s="33" t="inlineStr">
        <is>
          <t>Poll.</t>
        </is>
      </c>
      <c r="K60" s="33" t="inlineStr">
        <is>
          <t>Story poll, plus a quote graphic in the feed.</t>
        </is>
      </c>
      <c r="L60" s="33" t="inlineStr">
        <is>
          <t>No link (keeps reach up)</t>
        </is>
      </c>
      <c r="M60" s="33" t="n">
        <v>3</v>
      </c>
      <c r="N60" s="36" t="inlineStr">
        <is>
          <t>Planned</t>
        </is>
      </c>
      <c r="O60" s="36" t="n"/>
    </row>
    <row r="61" ht="23.25" customHeight="1" s="27">
      <c r="A61" s="33" t="n">
        <v>15</v>
      </c>
      <c r="B61" s="34">
        <f>'Weekly overview'!$B$16+(3)</f>
        <v/>
      </c>
      <c r="C61" s="33" t="inlineStr">
        <is>
          <t>Fri</t>
        </is>
      </c>
      <c r="D61" s="33" t="inlineStr">
        <is>
          <t>Practical GenAI for the shopfloor: four uses that save time today</t>
        </is>
      </c>
      <c r="E61" s="33" t="inlineStr">
        <is>
          <t>Smart Factory &amp; AI</t>
        </is>
      </c>
      <c r="F61" s="33" t="inlineStr">
        <is>
          <t>Stat or framework</t>
        </is>
      </c>
      <c r="G61" s="35" t="inlineStr">
        <is>
          <t>The one condition that decides whether shopfloor GenAI works: contextualised, trusted data.</t>
        </is>
      </c>
      <c r="H61" s="33" t="inlineStr">
        <is>
          <t>• Graphic: question → data with context → answer with sources
• Without the middle step, you get confident guesses</t>
        </is>
      </c>
      <c r="I61" s="33" t="inlineStr">
        <is>
          <t>Image or document carousel. No link.</t>
        </is>
      </c>
      <c r="J61" s="33" t="inlineStr">
        <is>
          <t>Single post with the image.</t>
        </is>
      </c>
      <c r="K61" s="33" t="inlineStr">
        <is>
          <t>Carousel, 5–7 slides.</t>
        </is>
      </c>
      <c r="L61" s="33" t="inlineStr">
        <is>
          <t>No link (keeps reach up)</t>
        </is>
      </c>
      <c r="M61" s="33" t="n">
        <v>4</v>
      </c>
      <c r="N61" s="36" t="inlineStr">
        <is>
          <t>Planned</t>
        </is>
      </c>
      <c r="O61" s="36" t="n"/>
    </row>
    <row r="62" ht="34.5" customHeight="1" s="27">
      <c r="A62" s="39" t="n">
        <v>16</v>
      </c>
      <c r="B62" s="40">
        <f>'Weekly overview'!$B$17+(-1)</f>
        <v/>
      </c>
      <c r="C62" s="39" t="inlineStr">
        <is>
          <t>Mon</t>
        </is>
      </c>
      <c r="D62" s="39" t="inlineStr">
        <is>
          <t>WMS, MES and ERP: who owns inventory once it reaches the line?</t>
        </is>
      </c>
      <c r="E62" s="39" t="inlineStr">
        <is>
          <t>Foundations</t>
        </is>
      </c>
      <c r="F62" s="39" t="inlineStr">
        <is>
          <t>Question / poll</t>
        </is>
      </c>
      <c r="G62" s="41" t="inlineStr">
        <is>
          <t>Do you actually need a WMS?</t>
        </is>
      </c>
      <c r="H62" s="39" t="inlineStr">
        <is>
          <t>• Poll: yes, complex warehouse / ERP is enough / MES/MOM handles it / not sure
• Comment: what tipped your decision?</t>
        </is>
      </c>
      <c r="I62" s="39" t="inlineStr">
        <is>
          <t>LinkedIn poll (1 week). Reply to comments.</t>
        </is>
      </c>
      <c r="J62" s="39" t="inlineStr">
        <is>
          <t>Poll.</t>
        </is>
      </c>
      <c r="K62" s="39" t="inlineStr">
        <is>
          <t>Story poll, plus a quote graphic in the feed.</t>
        </is>
      </c>
      <c r="L62" s="39" t="inlineStr">
        <is>
          <t>No link (keeps reach up)</t>
        </is>
      </c>
      <c r="M62" s="39" t="n">
        <v>1</v>
      </c>
      <c r="N62" s="42" t="inlineStr">
        <is>
          <t>Planned</t>
        </is>
      </c>
      <c r="O62" s="42" t="n"/>
    </row>
    <row r="63" ht="45.75" customHeight="1" s="27">
      <c r="A63" s="39" t="n">
        <v>16</v>
      </c>
      <c r="B63" s="40">
        <f>'Weekly overview'!$B$17+(0)</f>
        <v/>
      </c>
      <c r="C63" s="39" t="inlineStr">
        <is>
          <t>Tue</t>
        </is>
      </c>
      <c r="D63" s="39" t="inlineStr">
        <is>
          <t>WMS, MES and ERP: who owns inventory once it reaches the line?</t>
        </is>
      </c>
      <c r="E63" s="39" t="inlineStr">
        <is>
          <t>Foundations</t>
        </is>
      </c>
      <c r="F63" s="43" t="inlineStr">
        <is>
          <t>Article post</t>
        </is>
      </c>
      <c r="G63" s="43" t="inlineStr">
        <is>
          <t>ERP, WMS and MES all track stock. Who owns it once it reaches the line?</t>
        </is>
      </c>
      <c r="H63" s="39" t="inlineStr">
        <is>
          <t>• ERP: financial inventory and planning
• WMS: the warehouse, if it's complex enough to need one
• MES/MOM: line-side and WIP, where production consumes it
• The boundary that matters is the line</t>
        </is>
      </c>
      <c r="I63" s="39" t="inlineStr">
        <is>
          <t>Text post, 150–250 words. Article link in the FIRST COMMENT.</t>
        </is>
      </c>
      <c r="J63" s="39" t="inlineStr">
        <is>
          <t>Thread, 5–7 posts. Link in the last post.</t>
        </is>
      </c>
      <c r="K63" s="39" t="inlineStr">
        <is>
          <t>Carousel, 7–9 slides. 'Link in bio' on the last slide.</t>
        </is>
      </c>
      <c r="L63" s="44" t="inlineStr">
        <is>
          <t>https://www.mesmatters.com/post/wms-vs-mes-inventory</t>
        </is>
      </c>
      <c r="M63" s="39" t="n">
        <v>2</v>
      </c>
      <c r="N63" s="42" t="inlineStr">
        <is>
          <t>Planned</t>
        </is>
      </c>
      <c r="O63" s="42" t="n"/>
    </row>
    <row r="64" ht="23.25" customHeight="1" s="27">
      <c r="A64" s="39" t="n">
        <v>16</v>
      </c>
      <c r="B64" s="40">
        <f>'Weekly overview'!$B$17+(2)</f>
        <v/>
      </c>
      <c r="C64" s="39" t="inlineStr">
        <is>
          <t>Thu</t>
        </is>
      </c>
      <c r="D64" s="39" t="inlineStr">
        <is>
          <t>WMS, MES and ERP: who owns inventory once it reaches the line?</t>
        </is>
      </c>
      <c r="E64" s="39" t="inlineStr">
        <is>
          <t>Foundations</t>
        </is>
      </c>
      <c r="F64" s="39" t="inlineStr">
        <is>
          <t>Stat or framework</t>
        </is>
      </c>
      <c r="G64" s="41" t="inlineStr">
        <is>
          <t>Warehouse → line-side → WIP → finished goods. Who owns each stage?</t>
        </is>
      </c>
      <c r="H64" s="39" t="inlineStr">
        <is>
          <t>• Graphic: the inventory boundary map
• Carousel: one stage per slide, system of record on each</t>
        </is>
      </c>
      <c r="I64" s="39" t="inlineStr">
        <is>
          <t>Image or document carousel. No link.</t>
        </is>
      </c>
      <c r="J64" s="39" t="inlineStr">
        <is>
          <t>Single post with the image.</t>
        </is>
      </c>
      <c r="K64" s="39" t="inlineStr">
        <is>
          <t>Carousel, 5–7 slides.</t>
        </is>
      </c>
      <c r="L64" s="39" t="inlineStr">
        <is>
          <t>No link (keeps reach up)</t>
        </is>
      </c>
      <c r="M64" s="39" t="n">
        <v>3</v>
      </c>
      <c r="N64" s="42" t="inlineStr">
        <is>
          <t>Planned</t>
        </is>
      </c>
      <c r="O64" s="42" t="n"/>
    </row>
    <row r="65" ht="34.5" customHeight="1" s="27">
      <c r="A65" s="39" t="n">
        <v>16</v>
      </c>
      <c r="B65" s="40">
        <f>'Weekly overview'!$B$17+(3)</f>
        <v/>
      </c>
      <c r="C65" s="39" t="inlineStr">
        <is>
          <t>Fri</t>
        </is>
      </c>
      <c r="D65" s="39" t="inlineStr">
        <is>
          <t>WMS, MES and ERP: who owns inventory once it reaches the line?</t>
        </is>
      </c>
      <c r="E65" s="39" t="inlineStr">
        <is>
          <t>Foundations</t>
        </is>
      </c>
      <c r="F65" s="39" t="inlineStr">
        <is>
          <t>Contrarian take</t>
        </is>
      </c>
      <c r="G65" s="41" t="inlineStr">
        <is>
          <t>If your WMS doesn't know what the line just consumed, you have two inventories and one is wrong.</t>
        </is>
      </c>
      <c r="H65" s="39" t="inlineStr">
        <is>
          <t>• Real-time consumption belongs to whoever sees production
• Sync to ERP, don't duplicate it</t>
        </is>
      </c>
      <c r="I65" s="39" t="inlineStr">
        <is>
          <t>Short text post, 50–120 words. No link.</t>
        </is>
      </c>
      <c r="J65" s="39" t="inlineStr">
        <is>
          <t>Single post.</t>
        </is>
      </c>
      <c r="K65" s="39" t="inlineStr">
        <is>
          <t>Carousel: the take on slide 1, the reasoning over 3–4 slides.</t>
        </is>
      </c>
      <c r="L65" s="39" t="inlineStr">
        <is>
          <t>No link (keeps reach up)</t>
        </is>
      </c>
      <c r="M65" s="39" t="n">
        <v>4</v>
      </c>
      <c r="N65" s="42" t="inlineStr">
        <is>
          <t>Planned</t>
        </is>
      </c>
      <c r="O65" s="42" t="n"/>
    </row>
    <row r="66" ht="34.5" customHeight="1" s="27">
      <c r="A66" s="33" t="n">
        <v>17</v>
      </c>
      <c r="B66" s="34">
        <f>'Weekly overview'!$B$18+(-1)</f>
        <v/>
      </c>
      <c r="C66" s="33" t="inlineStr">
        <is>
          <t>Mon</t>
        </is>
      </c>
      <c r="D66" s="33" t="inlineStr">
        <is>
          <t>IIoT doesn't replace MES. Here's why.</t>
        </is>
      </c>
      <c r="E66" s="33" t="inlineStr">
        <is>
          <t>Foundations</t>
        </is>
      </c>
      <c r="F66" s="33" t="inlineStr">
        <is>
          <t>Myth vs reality</t>
        </is>
      </c>
      <c r="G66" s="35" t="inlineStr">
        <is>
          <t>Myth: if we connect every machine, we won't need MES.</t>
        </is>
      </c>
      <c r="H66" s="33" t="inlineStr">
        <is>
          <t>• Reality: you'll have a lot of data and no process around it
• Orders, quality, materials and people still need managing. Carousel: four IIoT myths</t>
        </is>
      </c>
      <c r="I66" s="33" t="inlineStr">
        <is>
          <t>Text post or document carousel. No link.</t>
        </is>
      </c>
      <c r="J66" s="33" t="inlineStr">
        <is>
          <t>Single post.</t>
        </is>
      </c>
      <c r="K66" s="33" t="inlineStr">
        <is>
          <t>Carousel: myth slide, reality slide.</t>
        </is>
      </c>
      <c r="L66" s="33" t="inlineStr">
        <is>
          <t>No link (keeps reach up)</t>
        </is>
      </c>
      <c r="M66" s="33" t="n">
        <v>1</v>
      </c>
      <c r="N66" s="36" t="inlineStr">
        <is>
          <t>Planned</t>
        </is>
      </c>
      <c r="O66" s="36" t="n"/>
    </row>
    <row r="67" ht="45.75" customHeight="1" s="27">
      <c r="A67" s="33" t="n">
        <v>17</v>
      </c>
      <c r="B67" s="34">
        <f>'Weekly overview'!$B$18+(0)</f>
        <v/>
      </c>
      <c r="C67" s="33" t="inlineStr">
        <is>
          <t>Tue</t>
        </is>
      </c>
      <c r="D67" s="33" t="inlineStr">
        <is>
          <t>IIoT doesn't replace MES. Here's why.</t>
        </is>
      </c>
      <c r="E67" s="33" t="inlineStr">
        <is>
          <t>Foundations</t>
        </is>
      </c>
      <c r="F67" s="37" t="inlineStr">
        <is>
          <t>Article post</t>
        </is>
      </c>
      <c r="G67" s="37" t="inlineStr">
        <is>
          <t>IIoT doesn't replace MES. Here's why.</t>
        </is>
      </c>
      <c r="H67" s="33" t="inlineStr">
        <is>
          <t>• IIoT is a concept, not a system
• Connecting sensors is a small part of running a factory
• Collecting machine data is table stakes for MES/MOM
• Complementary, not competing</t>
        </is>
      </c>
      <c r="I67" s="33" t="inlineStr">
        <is>
          <t>Text post, 150–250 words. Article link in the FIRST COMMENT.</t>
        </is>
      </c>
      <c r="J67" s="33" t="inlineStr">
        <is>
          <t>Thread, 5–7 posts. Link in the last post.</t>
        </is>
      </c>
      <c r="K67" s="33" t="inlineStr">
        <is>
          <t>Carousel, 7–9 slides. 'Link in bio' on the last slide.</t>
        </is>
      </c>
      <c r="L67" s="38" t="inlineStr">
        <is>
          <t>https://www.mesmatters.com/post/iiot-vs-mes</t>
        </is>
      </c>
      <c r="M67" s="33" t="n">
        <v>2</v>
      </c>
      <c r="N67" s="36" t="inlineStr">
        <is>
          <t>Planned</t>
        </is>
      </c>
      <c r="O67" s="36" t="n"/>
    </row>
    <row r="68" ht="23.25" customHeight="1" s="27">
      <c r="A68" s="33" t="n">
        <v>17</v>
      </c>
      <c r="B68" s="34">
        <f>'Weekly overview'!$B$18+(2)</f>
        <v/>
      </c>
      <c r="C68" s="33" t="inlineStr">
        <is>
          <t>Thu</t>
        </is>
      </c>
      <c r="D68" s="33" t="inlineStr">
        <is>
          <t>IIoT doesn't replace MES. Here's why.</t>
        </is>
      </c>
      <c r="E68" s="33" t="inlineStr">
        <is>
          <t>Foundations</t>
        </is>
      </c>
      <c r="F68" s="33" t="inlineStr">
        <is>
          <t>Question / poll</t>
        </is>
      </c>
      <c r="G68" s="35" t="inlineStr">
        <is>
          <t>Have you seen an IIoT project stall after the dashboards went live?</t>
        </is>
      </c>
      <c r="H68" s="33" t="inlineStr">
        <is>
          <t>• Poll: yes / no / it's happening now / we skipped IIoT
• Comment: what happened next?</t>
        </is>
      </c>
      <c r="I68" s="33" t="inlineStr">
        <is>
          <t>LinkedIn poll (1 week). Reply to comments.</t>
        </is>
      </c>
      <c r="J68" s="33" t="inlineStr">
        <is>
          <t>Poll.</t>
        </is>
      </c>
      <c r="K68" s="33" t="inlineStr">
        <is>
          <t>Story poll, plus a quote graphic in the feed.</t>
        </is>
      </c>
      <c r="L68" s="33" t="inlineStr">
        <is>
          <t>No link (keeps reach up)</t>
        </is>
      </c>
      <c r="M68" s="33" t="n">
        <v>3</v>
      </c>
      <c r="N68" s="36" t="inlineStr">
        <is>
          <t>Planned</t>
        </is>
      </c>
      <c r="O68" s="36" t="n"/>
    </row>
    <row r="69" ht="23.25" customHeight="1" s="27">
      <c r="A69" s="33" t="n">
        <v>17</v>
      </c>
      <c r="B69" s="34">
        <f>'Weekly overview'!$B$18+(3)</f>
        <v/>
      </c>
      <c r="C69" s="33" t="inlineStr">
        <is>
          <t>Fri</t>
        </is>
      </c>
      <c r="D69" s="33" t="inlineStr">
        <is>
          <t>IIoT doesn't replace MES. Here's why.</t>
        </is>
      </c>
      <c r="E69" s="33" t="inlineStr">
        <is>
          <t>Foundations</t>
        </is>
      </c>
      <c r="F69" s="33" t="inlineStr">
        <is>
          <t>Analogy</t>
        </is>
      </c>
      <c r="G69" s="35" t="inlineStr">
        <is>
          <t>IIoT gives you the factory's pulse. MES/MOM tells you what the patient is doing.</t>
        </is>
      </c>
      <c r="H69" s="33" t="inlineStr">
        <is>
          <t>• A pulse alone doesn't tell you why it changed
• Context comes from orders, products and people</t>
        </is>
      </c>
      <c r="I69" s="33" t="inlineStr">
        <is>
          <t>Short text post, 50–120 words. No link.</t>
        </is>
      </c>
      <c r="J69" s="33" t="inlineStr">
        <is>
          <t>Single post.</t>
        </is>
      </c>
      <c r="K69" s="33" t="inlineStr">
        <is>
          <t>Quote graphic.</t>
        </is>
      </c>
      <c r="L69" s="33" t="inlineStr">
        <is>
          <t>No link (keeps reach up)</t>
        </is>
      </c>
      <c r="M69" s="33" t="n">
        <v>4</v>
      </c>
      <c r="N69" s="36" t="inlineStr">
        <is>
          <t>Planned</t>
        </is>
      </c>
      <c r="O69" s="36" t="n"/>
    </row>
    <row r="70" ht="34.5" customHeight="1" s="27">
      <c r="A70" s="39" t="n">
        <v>18</v>
      </c>
      <c r="B70" s="40">
        <f>'Weekly overview'!$B$19+(-1)</f>
        <v/>
      </c>
      <c r="C70" s="39" t="inlineStr">
        <is>
          <t>Mon</t>
        </is>
      </c>
      <c r="D70" s="39" t="inlineStr">
        <is>
          <t>Configure, don't customise</t>
        </is>
      </c>
      <c r="E70" s="39" t="inlineStr">
        <is>
          <t>Implementation</t>
        </is>
      </c>
      <c r="F70" s="39" t="inlineStr">
        <is>
          <t>Contrarian take</t>
        </is>
      </c>
      <c r="G70" s="41" t="inlineStr">
        <is>
          <t>'Our processes are unique' is the most expensive sentence in manufacturing software.</t>
        </is>
      </c>
      <c r="H70" s="39" t="inlineStr">
        <is>
          <t>• Most are variations of best practice
• The genuinely unique bits are worth protecting. The rest isn't. Challenge every requirement that starts with 'we've always'</t>
        </is>
      </c>
      <c r="I70" s="39" t="inlineStr">
        <is>
          <t>Short text post, 50–120 words. No link.</t>
        </is>
      </c>
      <c r="J70" s="39" t="inlineStr">
        <is>
          <t>Single post.</t>
        </is>
      </c>
      <c r="K70" s="39" t="inlineStr">
        <is>
          <t>Carousel: the take on slide 1, the reasoning over 3–4 slides.</t>
        </is>
      </c>
      <c r="L70" s="39" t="inlineStr">
        <is>
          <t>No link (keeps reach up)</t>
        </is>
      </c>
      <c r="M70" s="39" t="n">
        <v>1</v>
      </c>
      <c r="N70" s="42" t="inlineStr">
        <is>
          <t>Planned</t>
        </is>
      </c>
      <c r="O70" s="42" t="n"/>
    </row>
    <row r="71" ht="45.75" customHeight="1" s="27">
      <c r="A71" s="39" t="n">
        <v>18</v>
      </c>
      <c r="B71" s="40">
        <f>'Weekly overview'!$B$19+(0)</f>
        <v/>
      </c>
      <c r="C71" s="39" t="inlineStr">
        <is>
          <t>Tue</t>
        </is>
      </c>
      <c r="D71" s="39" t="inlineStr">
        <is>
          <t>Configure, don't customise</t>
        </is>
      </c>
      <c r="E71" s="39" t="inlineStr">
        <is>
          <t>Implementation</t>
        </is>
      </c>
      <c r="F71" s="43" t="inlineStr">
        <is>
          <t>Article post</t>
        </is>
      </c>
      <c r="G71" s="43" t="inlineStr">
        <is>
          <t>Configuration and customisation are not the same thing. The difference decides your total cost of ownership.</t>
        </is>
      </c>
      <c r="H71" s="39" t="inlineStr">
        <is>
          <t>• Six levels, from out-of-the-box to custom code
• Every custom line makes upgrades harder
• Your processes probably aren't as unique as you think
• One warning sign tells you it's going wrong</t>
        </is>
      </c>
      <c r="I71" s="39" t="inlineStr">
        <is>
          <t>Text post, 150–250 words. Article link in the FIRST COMMENT.</t>
        </is>
      </c>
      <c r="J71" s="39" t="inlineStr">
        <is>
          <t>Thread, 5–7 posts. Link in the last post.</t>
        </is>
      </c>
      <c r="K71" s="39" t="inlineStr">
        <is>
          <t>Carousel, 7–9 slides. 'Link in bio' on the last slide.</t>
        </is>
      </c>
      <c r="L71" s="44" t="inlineStr">
        <is>
          <t>https://www.mesmatters.com/post/configure-dont-customise</t>
        </is>
      </c>
      <c r="M71" s="39" t="n">
        <v>2</v>
      </c>
      <c r="N71" s="42" t="inlineStr">
        <is>
          <t>Planned</t>
        </is>
      </c>
      <c r="O71" s="42" t="n"/>
    </row>
    <row r="72" ht="23.25" customHeight="1" s="27">
      <c r="A72" s="39" t="n">
        <v>18</v>
      </c>
      <c r="B72" s="40">
        <f>'Weekly overview'!$B$19+(2)</f>
        <v/>
      </c>
      <c r="C72" s="39" t="inlineStr">
        <is>
          <t>Thu</t>
        </is>
      </c>
      <c r="D72" s="39" t="inlineStr">
        <is>
          <t>Configure, don't customise</t>
        </is>
      </c>
      <c r="E72" s="39" t="inlineStr">
        <is>
          <t>Implementation</t>
        </is>
      </c>
      <c r="F72" s="39" t="inlineStr">
        <is>
          <t>Stat or framework</t>
        </is>
      </c>
      <c r="G72" s="41" t="inlineStr">
        <is>
          <t>Out-of-the-box → configuration → low-code → extensions → integration → customisation.</t>
        </is>
      </c>
      <c r="H72" s="39" t="inlineStr">
        <is>
          <t>• Graphic: the six levels, cost and upgrade risk rising left to right
• Carousel version</t>
        </is>
      </c>
      <c r="I72" s="39" t="inlineStr">
        <is>
          <t>Image or document carousel. No link.</t>
        </is>
      </c>
      <c r="J72" s="39" t="inlineStr">
        <is>
          <t>Single post with the image.</t>
        </is>
      </c>
      <c r="K72" s="39" t="inlineStr">
        <is>
          <t>Carousel, 5–7 slides.</t>
        </is>
      </c>
      <c r="L72" s="39" t="inlineStr">
        <is>
          <t>No link (keeps reach up)</t>
        </is>
      </c>
      <c r="M72" s="39" t="n">
        <v>3</v>
      </c>
      <c r="N72" s="42" t="inlineStr">
        <is>
          <t>Planned</t>
        </is>
      </c>
      <c r="O72" s="42" t="n"/>
    </row>
    <row r="73" ht="23.25" customHeight="1" s="27">
      <c r="A73" s="39" t="n">
        <v>18</v>
      </c>
      <c r="B73" s="40">
        <f>'Weekly overview'!$B$19+(3)</f>
        <v/>
      </c>
      <c r="C73" s="39" t="inlineStr">
        <is>
          <t>Fri</t>
        </is>
      </c>
      <c r="D73" s="39" t="inlineStr">
        <is>
          <t>Configure, don't customise</t>
        </is>
      </c>
      <c r="E73" s="39" t="inlineStr">
        <is>
          <t>Implementation</t>
        </is>
      </c>
      <c r="F73" s="39" t="inlineStr">
        <is>
          <t>Question / poll</t>
        </is>
      </c>
      <c r="G73" s="41" t="inlineStr">
        <is>
          <t>How much of your current MES is custom code?</t>
        </is>
      </c>
      <c r="H73" s="39" t="inlineStr">
        <is>
          <t>• Poll: almost none / some / most of it / we built it ourselves
• Comment: what does an upgrade cost you?</t>
        </is>
      </c>
      <c r="I73" s="39" t="inlineStr">
        <is>
          <t>LinkedIn poll (1 week). Reply to comments.</t>
        </is>
      </c>
      <c r="J73" s="39" t="inlineStr">
        <is>
          <t>Poll.</t>
        </is>
      </c>
      <c r="K73" s="39" t="inlineStr">
        <is>
          <t>Story poll, plus a quote graphic in the feed.</t>
        </is>
      </c>
      <c r="L73" s="39" t="inlineStr">
        <is>
          <t>No link (keeps reach up)</t>
        </is>
      </c>
      <c r="M73" s="39" t="n">
        <v>4</v>
      </c>
      <c r="N73" s="42" t="inlineStr">
        <is>
          <t>Planned</t>
        </is>
      </c>
      <c r="O73" s="42" t="n"/>
    </row>
    <row r="74" ht="23.25" customHeight="1" s="27">
      <c r="A74" s="33" t="n">
        <v>19</v>
      </c>
      <c r="B74" s="34">
        <f>'Weekly overview'!$B$20+(-1)</f>
        <v/>
      </c>
      <c r="C74" s="33" t="inlineStr">
        <is>
          <t>Mon</t>
        </is>
      </c>
      <c r="D74" s="33" t="inlineStr">
        <is>
          <t>ERP, APS and MES scheduling: the plan versus the shift</t>
        </is>
      </c>
      <c r="E74" s="33" t="inlineStr">
        <is>
          <t>Foundations</t>
        </is>
      </c>
      <c r="F74" s="33" t="inlineStr">
        <is>
          <t>Analogy</t>
        </is>
      </c>
      <c r="G74" s="35" t="inlineStr">
        <is>
          <t>ERP is the season plan. APS is the match tactics. MES is what happens on the pitch.</t>
        </is>
      </c>
      <c r="H74" s="33" t="inlineStr">
        <is>
          <t>• Plans change the moment the whistle blows
• The shopfloor has to feed reality back</t>
        </is>
      </c>
      <c r="I74" s="33" t="inlineStr">
        <is>
          <t>Short text post, 50–120 words. No link.</t>
        </is>
      </c>
      <c r="J74" s="33" t="inlineStr">
        <is>
          <t>Single post.</t>
        </is>
      </c>
      <c r="K74" s="33" t="inlineStr">
        <is>
          <t>Quote graphic.</t>
        </is>
      </c>
      <c r="L74" s="33" t="inlineStr">
        <is>
          <t>No link (keeps reach up)</t>
        </is>
      </c>
      <c r="M74" s="33" t="n">
        <v>1</v>
      </c>
      <c r="N74" s="36" t="inlineStr">
        <is>
          <t>Planned</t>
        </is>
      </c>
      <c r="O74" s="36" t="n"/>
    </row>
    <row r="75" ht="45.75" customHeight="1" s="27">
      <c r="A75" s="33" t="n">
        <v>19</v>
      </c>
      <c r="B75" s="34">
        <f>'Weekly overview'!$B$20+(0)</f>
        <v/>
      </c>
      <c r="C75" s="33" t="inlineStr">
        <is>
          <t>Tue</t>
        </is>
      </c>
      <c r="D75" s="33" t="inlineStr">
        <is>
          <t>ERP, APS and MES scheduling: the plan versus the shift</t>
        </is>
      </c>
      <c r="E75" s="33" t="inlineStr">
        <is>
          <t>Foundations</t>
        </is>
      </c>
      <c r="F75" s="37" t="inlineStr">
        <is>
          <t>Article post</t>
        </is>
      </c>
      <c r="G75" s="37" t="inlineStr">
        <is>
          <t>ERP plans. APS sequences. MES executes. Where does scheduling actually belong?</t>
        </is>
      </c>
      <c r="H75" s="33" t="inlineStr">
        <is>
          <t>• Different systems, different horizons
• Many factories don't need APS at all
• Where the scheduling logic should live
• The feedback loop from the shopfloor is the whole point</t>
        </is>
      </c>
      <c r="I75" s="33" t="inlineStr">
        <is>
          <t>Text post, 150–250 words. Article link in the FIRST COMMENT.</t>
        </is>
      </c>
      <c r="J75" s="33" t="inlineStr">
        <is>
          <t>Thread, 5–7 posts. Link in the last post.</t>
        </is>
      </c>
      <c r="K75" s="33" t="inlineStr">
        <is>
          <t>Carousel, 7–9 slides. 'Link in bio' on the last slide.</t>
        </is>
      </c>
      <c r="L75" s="38" t="inlineStr">
        <is>
          <t>https://www.mesmatters.com/post/aps-vs-mes-scheduling</t>
        </is>
      </c>
      <c r="M75" s="33" t="n">
        <v>2</v>
      </c>
      <c r="N75" s="36" t="inlineStr">
        <is>
          <t>Planned</t>
        </is>
      </c>
      <c r="O75" s="36" t="n"/>
    </row>
    <row r="76" ht="23.25" customHeight="1" s="27">
      <c r="A76" s="33" t="n">
        <v>19</v>
      </c>
      <c r="B76" s="34">
        <f>'Weekly overview'!$B$20+(2)</f>
        <v/>
      </c>
      <c r="C76" s="33" t="inlineStr">
        <is>
          <t>Thu</t>
        </is>
      </c>
      <c r="D76" s="33" t="inlineStr">
        <is>
          <t>ERP, APS and MES scheduling: the plan versus the shift</t>
        </is>
      </c>
      <c r="E76" s="33" t="inlineStr">
        <is>
          <t>Foundations</t>
        </is>
      </c>
      <c r="F76" s="33" t="inlineStr">
        <is>
          <t>Question / poll</t>
        </is>
      </c>
      <c r="G76" s="35" t="inlineStr">
        <is>
          <t>How old is your production schedule by mid-shift?</t>
        </is>
      </c>
      <c r="H76" s="33" t="inlineStr">
        <is>
          <t>• Poll: live / a few hours / since this morning / since last week
• Comment: who updates it?</t>
        </is>
      </c>
      <c r="I76" s="33" t="inlineStr">
        <is>
          <t>LinkedIn poll (1 week). Reply to comments.</t>
        </is>
      </c>
      <c r="J76" s="33" t="inlineStr">
        <is>
          <t>Poll.</t>
        </is>
      </c>
      <c r="K76" s="33" t="inlineStr">
        <is>
          <t>Story poll, plus a quote graphic in the feed.</t>
        </is>
      </c>
      <c r="L76" s="33" t="inlineStr">
        <is>
          <t>No link (keeps reach up)</t>
        </is>
      </c>
      <c r="M76" s="33" t="n">
        <v>3</v>
      </c>
      <c r="N76" s="36" t="inlineStr">
        <is>
          <t>Planned</t>
        </is>
      </c>
      <c r="O76" s="36" t="n"/>
    </row>
    <row r="77" ht="45.75" customHeight="1" s="27">
      <c r="A77" s="33" t="n">
        <v>19</v>
      </c>
      <c r="B77" s="34">
        <f>'Weekly overview'!$B$20+(3)</f>
        <v/>
      </c>
      <c r="C77" s="33" t="inlineStr">
        <is>
          <t>Fri</t>
        </is>
      </c>
      <c r="D77" s="33" t="inlineStr">
        <is>
          <t>ERP, APS and MES scheduling: the plan versus the shift</t>
        </is>
      </c>
      <c r="E77" s="33" t="inlineStr">
        <is>
          <t>Foundations</t>
        </is>
      </c>
      <c r="F77" s="33" t="inlineStr">
        <is>
          <t>Checklist</t>
        </is>
      </c>
      <c r="G77" s="35" t="inlineStr">
        <is>
          <t>Four questions to decide if you need APS.</t>
        </is>
      </c>
      <c r="H77" s="33" t="inlineStr">
        <is>
          <t>• Do you have many shared constraints?
• Are changeovers sequence-dependent?
• Does the schedule change daily?
• Can planners keep up today? Carousel</t>
        </is>
      </c>
      <c r="I77" s="33" t="inlineStr">
        <is>
          <t>Document carousel (PDF), one item per page.</t>
        </is>
      </c>
      <c r="J77" s="33" t="inlineStr">
        <is>
          <t>Thread, one item per post.</t>
        </is>
      </c>
      <c r="K77" s="33" t="inlineStr">
        <is>
          <t>Carousel, one item per slide.</t>
        </is>
      </c>
      <c r="L77" s="33" t="inlineStr">
        <is>
          <t>No link (keeps reach up)</t>
        </is>
      </c>
      <c r="M77" s="33" t="n">
        <v>4</v>
      </c>
      <c r="N77" s="36" t="inlineStr">
        <is>
          <t>Planned</t>
        </is>
      </c>
      <c r="O77" s="36" t="n"/>
    </row>
    <row r="78" ht="34.5" customHeight="1" s="27">
      <c r="A78" s="39" t="n">
        <v>20</v>
      </c>
      <c r="B78" s="40">
        <f>'Weekly overview'!$B$21+(-1)</f>
        <v/>
      </c>
      <c r="C78" s="39" t="inlineStr">
        <is>
          <t>Mon</t>
        </is>
      </c>
      <c r="D78" s="39" t="inlineStr">
        <is>
          <t>Digital work instructions that know what's running</t>
        </is>
      </c>
      <c r="E78" s="39" t="inlineStr">
        <is>
          <t>Smart Factory &amp; AI</t>
        </is>
      </c>
      <c r="F78" s="39" t="inlineStr">
        <is>
          <t>Story (your experience)</t>
        </is>
      </c>
      <c r="G78" s="41" t="inlineStr">
        <is>
          <t>Story prompt: the out-of-date instruction that caused a problem.</t>
        </is>
      </c>
      <c r="H78" s="39" t="inlineStr">
        <is>
          <t>• Your experience: wrong revision, missing step, laminated sheet from 2015
• What did it cost?. End: how current are yours?</t>
        </is>
      </c>
      <c r="I78" s="39" t="inlineStr">
        <is>
          <t>Story post, 150–250 words, from your own experience. No link.</t>
        </is>
      </c>
      <c r="J78" s="39" t="inlineStr">
        <is>
          <t>Short thread, 3–4 posts.</t>
        </is>
      </c>
      <c r="K78" s="39" t="inlineStr">
        <is>
          <t>Reel: 30–45 sec talking to camera.</t>
        </is>
      </c>
      <c r="L78" s="39" t="inlineStr">
        <is>
          <t>No link (keeps reach up)</t>
        </is>
      </c>
      <c r="M78" s="39" t="n">
        <v>1</v>
      </c>
      <c r="N78" s="42" t="inlineStr">
        <is>
          <t>Planned</t>
        </is>
      </c>
      <c r="O78" s="42" t="n"/>
    </row>
    <row r="79" ht="45.75" customHeight="1" s="27">
      <c r="A79" s="39" t="n">
        <v>20</v>
      </c>
      <c r="B79" s="40">
        <f>'Weekly overview'!$B$21+(0)</f>
        <v/>
      </c>
      <c r="C79" s="39" t="inlineStr">
        <is>
          <t>Tue</t>
        </is>
      </c>
      <c r="D79" s="39" t="inlineStr">
        <is>
          <t>Digital work instructions that know what's running</t>
        </is>
      </c>
      <c r="E79" s="39" t="inlineStr">
        <is>
          <t>Smart Factory &amp; AI</t>
        </is>
      </c>
      <c r="F79" s="43" t="inlineStr">
        <is>
          <t>Article post</t>
        </is>
      </c>
      <c r="G79" s="43" t="inlineStr">
        <is>
          <t>Paper work instructions go out of date the day they're printed.</t>
        </is>
      </c>
      <c r="H79" s="39" t="inlineStr">
        <is>
          <t>• Digital should mean version-controlled and context-aware
• Show the right instruction for the order that's running
• New starters get it right in days, not months
• Capture what your best operators know before they retire</t>
        </is>
      </c>
      <c r="I79" s="39" t="inlineStr">
        <is>
          <t>Text post, 150–250 words. Article link in the FIRST COMMENT.</t>
        </is>
      </c>
      <c r="J79" s="39" t="inlineStr">
        <is>
          <t>Thread, 5–7 posts. Link in the last post.</t>
        </is>
      </c>
      <c r="K79" s="39" t="inlineStr">
        <is>
          <t>Carousel, 7–9 slides. 'Link in bio' on the last slide.</t>
        </is>
      </c>
      <c r="L79" s="44" t="inlineStr">
        <is>
          <t>https://www.mesmatters.com/post/digital-work-instructions</t>
        </is>
      </c>
      <c r="M79" s="39" t="n">
        <v>2</v>
      </c>
      <c r="N79" s="42" t="inlineStr">
        <is>
          <t>Planned</t>
        </is>
      </c>
      <c r="O79" s="42" t="n"/>
    </row>
    <row r="80" ht="23.25" customHeight="1" s="27">
      <c r="A80" s="39" t="n">
        <v>20</v>
      </c>
      <c r="B80" s="40">
        <f>'Weekly overview'!$B$21+(2)</f>
        <v/>
      </c>
      <c r="C80" s="39" t="inlineStr">
        <is>
          <t>Thu</t>
        </is>
      </c>
      <c r="D80" s="39" t="inlineStr">
        <is>
          <t>Digital work instructions that know what's running</t>
        </is>
      </c>
      <c r="E80" s="39" t="inlineStr">
        <is>
          <t>Smart Factory &amp; AI</t>
        </is>
      </c>
      <c r="F80" s="39" t="inlineStr">
        <is>
          <t>Stat or framework</t>
        </is>
      </c>
      <c r="G80" s="41" t="inlineStr">
        <is>
          <t>The workforce numbers behind this: experienced people retiring, new starters staying for less time.</t>
        </is>
      </c>
      <c r="H80" s="39" t="inlineStr">
        <is>
          <t>• Use the tenure and skills stats from the connected worker article
• Knowledge capture isn't optional any more</t>
        </is>
      </c>
      <c r="I80" s="39" t="inlineStr">
        <is>
          <t>Image or document carousel. No link.</t>
        </is>
      </c>
      <c r="J80" s="39" t="inlineStr">
        <is>
          <t>Single post with the image.</t>
        </is>
      </c>
      <c r="K80" s="39" t="inlineStr">
        <is>
          <t>Carousel, 5–7 slides.</t>
        </is>
      </c>
      <c r="L80" s="39" t="inlineStr">
        <is>
          <t>No link (keeps reach up)</t>
        </is>
      </c>
      <c r="M80" s="39" t="n">
        <v>3</v>
      </c>
      <c r="N80" s="42" t="inlineStr">
        <is>
          <t>Planned</t>
        </is>
      </c>
      <c r="O80" s="42" t="n"/>
    </row>
    <row r="81" ht="23.25" customHeight="1" s="27">
      <c r="A81" s="39" t="n">
        <v>20</v>
      </c>
      <c r="B81" s="40">
        <f>'Weekly overview'!$B$21+(3)</f>
        <v/>
      </c>
      <c r="C81" s="39" t="inlineStr">
        <is>
          <t>Fri</t>
        </is>
      </c>
      <c r="D81" s="39" t="inlineStr">
        <is>
          <t>Digital work instructions that know what's running</t>
        </is>
      </c>
      <c r="E81" s="39" t="inlineStr">
        <is>
          <t>Smart Factory &amp; AI</t>
        </is>
      </c>
      <c r="F81" s="39" t="inlineStr">
        <is>
          <t>Contrarian take</t>
        </is>
      </c>
      <c r="G81" s="41" t="inlineStr">
        <is>
          <t>A PDF on a tablet isn't a digital work instruction.</t>
        </is>
      </c>
      <c r="H81" s="39" t="inlineStr">
        <is>
          <t>• If it doesn't know which order is running, it's just paper on glass
• Context is what makes it useful</t>
        </is>
      </c>
      <c r="I81" s="39" t="inlineStr">
        <is>
          <t>Short text post, 50–120 words. No link.</t>
        </is>
      </c>
      <c r="J81" s="39" t="inlineStr">
        <is>
          <t>Single post.</t>
        </is>
      </c>
      <c r="K81" s="39" t="inlineStr">
        <is>
          <t>Carousel: the take on slide 1, the reasoning over 3–4 slides.</t>
        </is>
      </c>
      <c r="L81" s="39" t="inlineStr">
        <is>
          <t>No link (keeps reach up)</t>
        </is>
      </c>
      <c r="M81" s="39" t="n">
        <v>4</v>
      </c>
      <c r="N81" s="42" t="inlineStr">
        <is>
          <t>Planned</t>
        </is>
      </c>
      <c r="O81" s="42" t="n"/>
    </row>
    <row r="82" ht="34.5" customHeight="1" s="27">
      <c r="A82" s="33" t="n">
        <v>21</v>
      </c>
      <c r="B82" s="34">
        <f>'Weekly overview'!$B$22+(-1)</f>
        <v/>
      </c>
      <c r="C82" s="33" t="inlineStr">
        <is>
          <t>Mon</t>
        </is>
      </c>
      <c r="D82" s="33" t="inlineStr">
        <is>
          <t>Predictive maintenance needs data you probably aren't collecting yet</t>
        </is>
      </c>
      <c r="E82" s="33" t="inlineStr">
        <is>
          <t>Smart Factory &amp; AI</t>
        </is>
      </c>
      <c r="F82" s="33" t="inlineStr">
        <is>
          <t>Myth vs reality</t>
        </is>
      </c>
      <c r="G82" s="35" t="inlineStr">
        <is>
          <t>Myth: buy a predictive maintenance platform and failures stop.</t>
        </is>
      </c>
      <c r="H82" s="33" t="inlineStr">
        <is>
          <t>• Reality: without failure history and context, the model has nothing to learn from
• Start with accurate downtime reasons</t>
        </is>
      </c>
      <c r="I82" s="33" t="inlineStr">
        <is>
          <t>Text post or document carousel. No link.</t>
        </is>
      </c>
      <c r="J82" s="33" t="inlineStr">
        <is>
          <t>Single post.</t>
        </is>
      </c>
      <c r="K82" s="33" t="inlineStr">
        <is>
          <t>Carousel: myth slide, reality slide.</t>
        </is>
      </c>
      <c r="L82" s="33" t="inlineStr">
        <is>
          <t>No link (keeps reach up)</t>
        </is>
      </c>
      <c r="M82" s="33" t="n">
        <v>1</v>
      </c>
      <c r="N82" s="36" t="inlineStr">
        <is>
          <t>Planned</t>
        </is>
      </c>
      <c r="O82" s="36" t="n"/>
    </row>
    <row r="83" ht="57" customHeight="1" s="27">
      <c r="A83" s="33" t="n">
        <v>21</v>
      </c>
      <c r="B83" s="34">
        <f>'Weekly overview'!$B$22+(0)</f>
        <v/>
      </c>
      <c r="C83" s="33" t="inlineStr">
        <is>
          <t>Tue</t>
        </is>
      </c>
      <c r="D83" s="33" t="inlineStr">
        <is>
          <t>Predictive maintenance needs data you probably aren't collecting yet</t>
        </is>
      </c>
      <c r="E83" s="33" t="inlineStr">
        <is>
          <t>Smart Factory &amp; AI</t>
        </is>
      </c>
      <c r="F83" s="37" t="inlineStr">
        <is>
          <t>Article post</t>
        </is>
      </c>
      <c r="G83" s="37" t="inlineStr">
        <is>
          <t>Predictive maintenance needs data you probably aren't collecting yet.</t>
        </is>
      </c>
      <c r="H83" s="33" t="inlineStr">
        <is>
          <t>• Reactive, preventive, condition-based, then predictive
• Downtime data is where it starts
• Models need condition data, failure history, maintenance actions and operating context
• Operators are part of it, not just engineers</t>
        </is>
      </c>
      <c r="I83" s="33" t="inlineStr">
        <is>
          <t>Text post, 150–250 words. Article link in the FIRST COMMENT.</t>
        </is>
      </c>
      <c r="J83" s="33" t="inlineStr">
        <is>
          <t>Thread, 5–7 posts. Link in the last post.</t>
        </is>
      </c>
      <c r="K83" s="33" t="inlineStr">
        <is>
          <t>Carousel, 7–9 slides. 'Link in bio' on the last slide.</t>
        </is>
      </c>
      <c r="L83" s="38" t="inlineStr">
        <is>
          <t>https://www.mesmatters.com/post/predictive-maintenance-data</t>
        </is>
      </c>
      <c r="M83" s="33" t="n">
        <v>2</v>
      </c>
      <c r="N83" s="36" t="inlineStr">
        <is>
          <t>Planned</t>
        </is>
      </c>
      <c r="O83" s="36" t="n"/>
    </row>
    <row r="84" ht="34.5" customHeight="1" s="27">
      <c r="A84" s="33" t="n">
        <v>21</v>
      </c>
      <c r="B84" s="34">
        <f>'Weekly overview'!$B$22+(2)</f>
        <v/>
      </c>
      <c r="C84" s="33" t="inlineStr">
        <is>
          <t>Thu</t>
        </is>
      </c>
      <c r="D84" s="33" t="inlineStr">
        <is>
          <t>Predictive maintenance needs data you probably aren't collecting yet</t>
        </is>
      </c>
      <c r="E84" s="33" t="inlineStr">
        <is>
          <t>Smart Factory &amp; AI</t>
        </is>
      </c>
      <c r="F84" s="33" t="inlineStr">
        <is>
          <t>Question / poll</t>
        </is>
      </c>
      <c r="G84" s="35" t="inlineStr">
        <is>
          <t>How is downtime recorded in your factory today?</t>
        </is>
      </c>
      <c r="H84" s="33" t="inlineStr">
        <is>
          <t>• Poll: automatically with reasons / automatically, no reasons / manually / not really
• Comment: how accurate is it?</t>
        </is>
      </c>
      <c r="I84" s="33" t="inlineStr">
        <is>
          <t>LinkedIn poll (1 week). Reply to comments.</t>
        </is>
      </c>
      <c r="J84" s="33" t="inlineStr">
        <is>
          <t>Poll.</t>
        </is>
      </c>
      <c r="K84" s="33" t="inlineStr">
        <is>
          <t>Story poll, plus a quote graphic in the feed.</t>
        </is>
      </c>
      <c r="L84" s="33" t="inlineStr">
        <is>
          <t>No link (keeps reach up)</t>
        </is>
      </c>
      <c r="M84" s="33" t="n">
        <v>3</v>
      </c>
      <c r="N84" s="36" t="inlineStr">
        <is>
          <t>Planned</t>
        </is>
      </c>
      <c r="O84" s="36" t="n"/>
    </row>
    <row r="85" ht="34.5" customHeight="1" s="27">
      <c r="A85" s="33" t="n">
        <v>21</v>
      </c>
      <c r="B85" s="34">
        <f>'Weekly overview'!$B$22+(3)</f>
        <v/>
      </c>
      <c r="C85" s="33" t="inlineStr">
        <is>
          <t>Fri</t>
        </is>
      </c>
      <c r="D85" s="33" t="inlineStr">
        <is>
          <t>Predictive maintenance needs data you probably aren't collecting yet</t>
        </is>
      </c>
      <c r="E85" s="33" t="inlineStr">
        <is>
          <t>Smart Factory &amp; AI</t>
        </is>
      </c>
      <c r="F85" s="33" t="inlineStr">
        <is>
          <t>Contrarian take</t>
        </is>
      </c>
      <c r="G85" s="35" t="inlineStr">
        <is>
          <t>If production and maintenance argue about downtime figures, you're not ready for predictive anything.</t>
        </is>
      </c>
      <c r="H85" s="33" t="inlineStr">
        <is>
          <t>• One version of downtime, shared by both
• That's the foundation every model needs</t>
        </is>
      </c>
      <c r="I85" s="33" t="inlineStr">
        <is>
          <t>Short text post, 50–120 words. No link.</t>
        </is>
      </c>
      <c r="J85" s="33" t="inlineStr">
        <is>
          <t>Single post.</t>
        </is>
      </c>
      <c r="K85" s="33" t="inlineStr">
        <is>
          <t>Carousel: the take on slide 1, the reasoning over 3–4 slides.</t>
        </is>
      </c>
      <c r="L85" s="33" t="inlineStr">
        <is>
          <t>No link (keeps reach up)</t>
        </is>
      </c>
      <c r="M85" s="33" t="n">
        <v>4</v>
      </c>
      <c r="N85" s="36" t="inlineStr">
        <is>
          <t>Planned</t>
        </is>
      </c>
      <c r="O85" s="36" t="n"/>
    </row>
    <row r="86" ht="34.5" customHeight="1" s="27">
      <c r="A86" s="39" t="n">
        <v>22</v>
      </c>
      <c r="B86" s="40">
        <f>'Weekly overview'!$B$23+(-1)</f>
        <v/>
      </c>
      <c r="C86" s="39" t="inlineStr">
        <is>
          <t>Mon</t>
        </is>
      </c>
      <c r="D86" s="39" t="inlineStr">
        <is>
          <t>QMS and MES: closing the quality loop</t>
        </is>
      </c>
      <c r="E86" s="39" t="inlineStr">
        <is>
          <t>Foundations</t>
        </is>
      </c>
      <c r="F86" s="39" t="inlineStr">
        <is>
          <t>Stat or framework</t>
        </is>
      </c>
      <c r="G86" s="41" t="inlineStr">
        <is>
          <t>The quality loop: in-process check → non-conformance → CAPA → updated spec → back to the line.</t>
        </is>
      </c>
      <c r="H86" s="39" t="inlineStr">
        <is>
          <t>• Graphic: who owns each step
• Carousel</t>
        </is>
      </c>
      <c r="I86" s="39" t="inlineStr">
        <is>
          <t>Image or document carousel. No link.</t>
        </is>
      </c>
      <c r="J86" s="39" t="inlineStr">
        <is>
          <t>Single post with the image.</t>
        </is>
      </c>
      <c r="K86" s="39" t="inlineStr">
        <is>
          <t>Carousel, 5–7 slides.</t>
        </is>
      </c>
      <c r="L86" s="39" t="inlineStr">
        <is>
          <t>No link (keeps reach up)</t>
        </is>
      </c>
      <c r="M86" s="39" t="n">
        <v>1</v>
      </c>
      <c r="N86" s="42" t="inlineStr">
        <is>
          <t>Planned</t>
        </is>
      </c>
      <c r="O86" s="42" t="n"/>
    </row>
    <row r="87" ht="45.75" customHeight="1" s="27">
      <c r="A87" s="39" t="n">
        <v>22</v>
      </c>
      <c r="B87" s="40">
        <f>'Weekly overview'!$B$23+(0)</f>
        <v/>
      </c>
      <c r="C87" s="39" t="inlineStr">
        <is>
          <t>Tue</t>
        </is>
      </c>
      <c r="D87" s="39" t="inlineStr">
        <is>
          <t>QMS and MES: closing the quality loop</t>
        </is>
      </c>
      <c r="E87" s="39" t="inlineStr">
        <is>
          <t>Foundations</t>
        </is>
      </c>
      <c r="F87" s="43" t="inlineStr">
        <is>
          <t>Article post</t>
        </is>
      </c>
      <c r="G87" s="43" t="inlineStr">
        <is>
          <t>Enterprise QMS and MES both 'do quality'. Here's how they should divide the work.</t>
        </is>
      </c>
      <c r="H87" s="39" t="inlineStr">
        <is>
          <t>• QMS: CAPA, audits, complaints, documents
• MES/MOM: in-process checks, SPC, holds at the line
• Where the loop breaks
• Holds must apply everywhere at once</t>
        </is>
      </c>
      <c r="I87" s="39" t="inlineStr">
        <is>
          <t>Text post, 150–250 words. Article link in the FIRST COMMENT.</t>
        </is>
      </c>
      <c r="J87" s="39" t="inlineStr">
        <is>
          <t>Thread, 5–7 posts. Link in the last post.</t>
        </is>
      </c>
      <c r="K87" s="39" t="inlineStr">
        <is>
          <t>Carousel, 7–9 slides. 'Link in bio' on the last slide.</t>
        </is>
      </c>
      <c r="L87" s="44" t="inlineStr">
        <is>
          <t>https://www.mesmatters.com/post/qms-and-mes-quality</t>
        </is>
      </c>
      <c r="M87" s="39" t="n">
        <v>2</v>
      </c>
      <c r="N87" s="42" t="inlineStr">
        <is>
          <t>Planned</t>
        </is>
      </c>
      <c r="O87" s="42" t="n"/>
    </row>
    <row r="88" ht="23.25" customHeight="1" s="27">
      <c r="A88" s="39" t="n">
        <v>22</v>
      </c>
      <c r="B88" s="40">
        <f>'Weekly overview'!$B$23+(2)</f>
        <v/>
      </c>
      <c r="C88" s="39" t="inlineStr">
        <is>
          <t>Thu</t>
        </is>
      </c>
      <c r="D88" s="39" t="inlineStr">
        <is>
          <t>QMS and MES: closing the quality loop</t>
        </is>
      </c>
      <c r="E88" s="39" t="inlineStr">
        <is>
          <t>Foundations</t>
        </is>
      </c>
      <c r="F88" s="39" t="inlineStr">
        <is>
          <t>Question / poll</t>
        </is>
      </c>
      <c r="G88" s="41" t="inlineStr">
        <is>
          <t>When quality puts a batch on hold, how fast does production know?</t>
        </is>
      </c>
      <c r="H88" s="39" t="inlineStr">
        <is>
          <t>• Poll: instantly / within the hour / next shift / after it's shipped
• Comment with an example</t>
        </is>
      </c>
      <c r="I88" s="39" t="inlineStr">
        <is>
          <t>LinkedIn poll (1 week). Reply to comments.</t>
        </is>
      </c>
      <c r="J88" s="39" t="inlineStr">
        <is>
          <t>Poll.</t>
        </is>
      </c>
      <c r="K88" s="39" t="inlineStr">
        <is>
          <t>Story poll, plus a quote graphic in the feed.</t>
        </is>
      </c>
      <c r="L88" s="39" t="inlineStr">
        <is>
          <t>No link (keeps reach up)</t>
        </is>
      </c>
      <c r="M88" s="39" t="n">
        <v>3</v>
      </c>
      <c r="N88" s="42" t="inlineStr">
        <is>
          <t>Planned</t>
        </is>
      </c>
      <c r="O88" s="42" t="n"/>
    </row>
    <row r="89" ht="23.25" customHeight="1" s="27">
      <c r="A89" s="39" t="n">
        <v>22</v>
      </c>
      <c r="B89" s="40">
        <f>'Weekly overview'!$B$23+(3)</f>
        <v/>
      </c>
      <c r="C89" s="39" t="inlineStr">
        <is>
          <t>Fri</t>
        </is>
      </c>
      <c r="D89" s="39" t="inlineStr">
        <is>
          <t>QMS and MES: closing the quality loop</t>
        </is>
      </c>
      <c r="E89" s="39" t="inlineStr">
        <is>
          <t>Foundations</t>
        </is>
      </c>
      <c r="F89" s="39" t="inlineStr">
        <is>
          <t>Contrarian take</t>
        </is>
      </c>
      <c r="G89" s="41" t="inlineStr">
        <is>
          <t>A quality hold that lives in one system but not the others isn't a hold. It's a suggestion.</t>
        </is>
      </c>
      <c r="H89" s="39" t="inlineStr">
        <is>
          <t>• ERP, WMS and MES/MOM all need to respect it instantly
• Test it before an auditor does</t>
        </is>
      </c>
      <c r="I89" s="39" t="inlineStr">
        <is>
          <t>Short text post, 50–120 words. No link.</t>
        </is>
      </c>
      <c r="J89" s="39" t="inlineStr">
        <is>
          <t>Single post.</t>
        </is>
      </c>
      <c r="K89" s="39" t="inlineStr">
        <is>
          <t>Carousel: the take on slide 1, the reasoning over 3–4 slides.</t>
        </is>
      </c>
      <c r="L89" s="39" t="inlineStr">
        <is>
          <t>No link (keeps reach up)</t>
        </is>
      </c>
      <c r="M89" s="39" t="n">
        <v>4</v>
      </c>
      <c r="N89" s="42" t="inlineStr">
        <is>
          <t>Planned</t>
        </is>
      </c>
      <c r="O89" s="42" t="n"/>
    </row>
    <row r="90" ht="45.75" customHeight="1" s="27">
      <c r="A90" s="33" t="n">
        <v>23</v>
      </c>
      <c r="B90" s="34">
        <f>'Weekly overview'!$B$24+(-1)</f>
        <v/>
      </c>
      <c r="C90" s="33" t="inlineStr">
        <is>
          <t>Mon</t>
        </is>
      </c>
      <c r="D90" s="33" t="inlineStr">
        <is>
          <t>Your traceability probably isn't as good as you think</t>
        </is>
      </c>
      <c r="E90" s="33" t="inlineStr">
        <is>
          <t>Foundations</t>
        </is>
      </c>
      <c r="F90" s="33" t="inlineStr">
        <is>
          <t>Checklist</t>
        </is>
      </c>
      <c r="G90" s="35" t="inlineStr">
        <is>
          <t>The traceability test: can you answer these four questions in under 10 minutes?</t>
        </is>
      </c>
      <c r="H90" s="33" t="inlineStr">
        <is>
          <t>• Which lots went into this product?
• Which products used this lot?
• What were the process parameters at the time?
• Which tool and operator? Carousel</t>
        </is>
      </c>
      <c r="I90" s="33" t="inlineStr">
        <is>
          <t>Document carousel (PDF), one item per page.</t>
        </is>
      </c>
      <c r="J90" s="33" t="inlineStr">
        <is>
          <t>Thread, one item per post.</t>
        </is>
      </c>
      <c r="K90" s="33" t="inlineStr">
        <is>
          <t>Carousel, one item per slide.</t>
        </is>
      </c>
      <c r="L90" s="33" t="inlineStr">
        <is>
          <t>No link (keeps reach up)</t>
        </is>
      </c>
      <c r="M90" s="33" t="n">
        <v>1</v>
      </c>
      <c r="N90" s="36" t="inlineStr">
        <is>
          <t>Planned</t>
        </is>
      </c>
      <c r="O90" s="36" t="n"/>
    </row>
    <row r="91" ht="57" customHeight="1" s="27">
      <c r="A91" s="33" t="n">
        <v>23</v>
      </c>
      <c r="B91" s="34">
        <f>'Weekly overview'!$B$24+(0)</f>
        <v/>
      </c>
      <c r="C91" s="33" t="inlineStr">
        <is>
          <t>Tue</t>
        </is>
      </c>
      <c r="D91" s="33" t="inlineStr">
        <is>
          <t>Your traceability probably isn't as good as you think</t>
        </is>
      </c>
      <c r="E91" s="33" t="inlineStr">
        <is>
          <t>Foundations</t>
        </is>
      </c>
      <c r="F91" s="37" t="inlineStr">
        <is>
          <t>Article post</t>
        </is>
      </c>
      <c r="G91" s="37" t="inlineStr">
        <is>
          <t>Your traceability probably isn't as good as you think.</t>
        </is>
      </c>
      <c r="H91" s="33" t="inlineStr">
        <is>
          <t>• ERP batch tracking and backflushing is better than nothing
• Full traceability includes the supplementary data: tools, parameters, results, people
• That's what narrows a recall from a week to a few lots
• A simple test tells you where you stand</t>
        </is>
      </c>
      <c r="I91" s="33" t="inlineStr">
        <is>
          <t>Text post, 150–250 words. Article link in the FIRST COMMENT.</t>
        </is>
      </c>
      <c r="J91" s="33" t="inlineStr">
        <is>
          <t>Thread, 5–7 posts. Link in the last post.</t>
        </is>
      </c>
      <c r="K91" s="33" t="inlineStr">
        <is>
          <t>Carousel, 7–9 slides. 'Link in bio' on the last slide.</t>
        </is>
      </c>
      <c r="L91" s="38" t="inlineStr">
        <is>
          <t>https://www.mesmatters.com/post/manufacturing-traceability</t>
        </is>
      </c>
      <c r="M91" s="33" t="n">
        <v>2</v>
      </c>
      <c r="N91" s="36" t="inlineStr">
        <is>
          <t>Planned</t>
        </is>
      </c>
      <c r="O91" s="36" t="n"/>
    </row>
    <row r="92" ht="23.25" customHeight="1" s="27">
      <c r="A92" s="33" t="n">
        <v>23</v>
      </c>
      <c r="B92" s="34">
        <f>'Weekly overview'!$B$24+(2)</f>
        <v/>
      </c>
      <c r="C92" s="33" t="inlineStr">
        <is>
          <t>Thu</t>
        </is>
      </c>
      <c r="D92" s="33" t="inlineStr">
        <is>
          <t>Your traceability probably isn't as good as you think</t>
        </is>
      </c>
      <c r="E92" s="33" t="inlineStr">
        <is>
          <t>Foundations</t>
        </is>
      </c>
      <c r="F92" s="33" t="inlineStr">
        <is>
          <t>Question / poll</t>
        </is>
      </c>
      <c r="G92" s="35" t="inlineStr">
        <is>
          <t>How long would a recall investigation take in your factory?</t>
        </is>
      </c>
      <c r="H92" s="33" t="inlineStr">
        <is>
          <t>• Poll: minutes / hours / days / we'd recall everything to be safe
• Comment honestly</t>
        </is>
      </c>
      <c r="I92" s="33" t="inlineStr">
        <is>
          <t>LinkedIn poll (1 week). Reply to comments.</t>
        </is>
      </c>
      <c r="J92" s="33" t="inlineStr">
        <is>
          <t>Poll.</t>
        </is>
      </c>
      <c r="K92" s="33" t="inlineStr">
        <is>
          <t>Story poll, plus a quote graphic in the feed.</t>
        </is>
      </c>
      <c r="L92" s="33" t="inlineStr">
        <is>
          <t>No link (keeps reach up)</t>
        </is>
      </c>
      <c r="M92" s="33" t="n">
        <v>3</v>
      </c>
      <c r="N92" s="36" t="inlineStr">
        <is>
          <t>Planned</t>
        </is>
      </c>
      <c r="O92" s="36" t="n"/>
    </row>
    <row r="93" ht="34.5" customHeight="1" s="27">
      <c r="A93" s="33" t="n">
        <v>23</v>
      </c>
      <c r="B93" s="34">
        <f>'Weekly overview'!$B$24+(3)</f>
        <v/>
      </c>
      <c r="C93" s="33" t="inlineStr">
        <is>
          <t>Fri</t>
        </is>
      </c>
      <c r="D93" s="33" t="inlineStr">
        <is>
          <t>Your traceability probably isn't as good as you think</t>
        </is>
      </c>
      <c r="E93" s="33" t="inlineStr">
        <is>
          <t>Foundations</t>
        </is>
      </c>
      <c r="F93" s="33" t="inlineStr">
        <is>
          <t>Story (your experience)</t>
        </is>
      </c>
      <c r="G93" s="35" t="inlineStr">
        <is>
          <t>Story prompt: a recall or complaint where traceability made the difference.</t>
        </is>
      </c>
      <c r="H93" s="33" t="inlineStr">
        <is>
          <t>• Your experience, anonymised
• How narrow could you make the scope?. End: what data would you add?</t>
        </is>
      </c>
      <c r="I93" s="33" t="inlineStr">
        <is>
          <t>Story post, 150–250 words, from your own experience. No link.</t>
        </is>
      </c>
      <c r="J93" s="33" t="inlineStr">
        <is>
          <t>Short thread, 3–4 posts.</t>
        </is>
      </c>
      <c r="K93" s="33" t="inlineStr">
        <is>
          <t>Reel: 30–45 sec talking to camera.</t>
        </is>
      </c>
      <c r="L93" s="33" t="inlineStr">
        <is>
          <t>No link (keeps reach up)</t>
        </is>
      </c>
      <c r="M93" s="33" t="n">
        <v>4</v>
      </c>
      <c r="N93" s="36" t="inlineStr">
        <is>
          <t>Planned</t>
        </is>
      </c>
      <c r="O93" s="36" t="n"/>
    </row>
    <row r="94" ht="23.25" customHeight="1" s="27">
      <c r="A94" s="39" t="n">
        <v>24</v>
      </c>
      <c r="B94" s="40">
        <f>'Weekly overview'!$B$25+(-1)</f>
        <v/>
      </c>
      <c r="C94" s="39" t="inlineStr">
        <is>
          <t>Mon</t>
        </is>
      </c>
      <c r="D94" s="39" t="inlineStr">
        <is>
          <t>How to choose an MES: 12 questions to ask every vendor</t>
        </is>
      </c>
      <c r="E94" s="39" t="inlineStr">
        <is>
          <t>Implementation</t>
        </is>
      </c>
      <c r="F94" s="39" t="inlineStr">
        <is>
          <t>Contrarian take</t>
        </is>
      </c>
      <c r="G94" s="41" t="inlineStr">
        <is>
          <t>A 400-line RFP spreadsheet tells you which vendor is best at filling in spreadsheets.</t>
        </is>
      </c>
      <c r="H94" s="39" t="inlineStr">
        <is>
          <t>• Every vendor ticks 'yes'
• Ask them to show your scenario, live, on their product</t>
        </is>
      </c>
      <c r="I94" s="39" t="inlineStr">
        <is>
          <t>Short text post, 50–120 words. No link.</t>
        </is>
      </c>
      <c r="J94" s="39" t="inlineStr">
        <is>
          <t>Single post.</t>
        </is>
      </c>
      <c r="K94" s="39" t="inlineStr">
        <is>
          <t>Carousel: the take on slide 1, the reasoning over 3–4 slides.</t>
        </is>
      </c>
      <c r="L94" s="39" t="inlineStr">
        <is>
          <t>No link (keeps reach up)</t>
        </is>
      </c>
      <c r="M94" s="39" t="n">
        <v>1</v>
      </c>
      <c r="N94" s="42" t="inlineStr">
        <is>
          <t>Planned</t>
        </is>
      </c>
      <c r="O94" s="42" t="n"/>
    </row>
    <row r="95" ht="45.75" customHeight="1" s="27">
      <c r="A95" s="39" t="n">
        <v>24</v>
      </c>
      <c r="B95" s="40">
        <f>'Weekly overview'!$B$25+(0)</f>
        <v/>
      </c>
      <c r="C95" s="39" t="inlineStr">
        <is>
          <t>Tue</t>
        </is>
      </c>
      <c r="D95" s="39" t="inlineStr">
        <is>
          <t>How to choose an MES: 12 questions to ask every vendor</t>
        </is>
      </c>
      <c r="E95" s="39" t="inlineStr">
        <is>
          <t>Implementation</t>
        </is>
      </c>
      <c r="F95" s="43" t="inlineStr">
        <is>
          <t>Article post</t>
        </is>
      </c>
      <c r="G95" s="43" t="inlineStr">
        <is>
          <t>12 questions to ask every MES vendor before you sign.</t>
        </is>
      </c>
      <c r="H95" s="39" t="inlineStr">
        <is>
          <t>• Technical foundation and user experience
• Functional scope, and scalability
• Don't write a wish list RFP
• See it, don't read about it. And choose the partner, not just the product</t>
        </is>
      </c>
      <c r="I95" s="39" t="inlineStr">
        <is>
          <t>Text post, 150–250 words. Article link in the FIRST COMMENT.</t>
        </is>
      </c>
      <c r="J95" s="39" t="inlineStr">
        <is>
          <t>Thread, 5–7 posts. Link in the last post.</t>
        </is>
      </c>
      <c r="K95" s="39" t="inlineStr">
        <is>
          <t>Carousel, 7–9 slides. 'Link in bio' on the last slide.</t>
        </is>
      </c>
      <c r="L95" s="44" t="inlineStr">
        <is>
          <t>https://www.mesmatters.com/post/how-to-choose-an-mes</t>
        </is>
      </c>
      <c r="M95" s="39" t="n">
        <v>2</v>
      </c>
      <c r="N95" s="42" t="inlineStr">
        <is>
          <t>Planned</t>
        </is>
      </c>
      <c r="O95" s="42" t="n"/>
    </row>
    <row r="96" ht="45.75" customHeight="1" s="27">
      <c r="A96" s="39" t="n">
        <v>24</v>
      </c>
      <c r="B96" s="40">
        <f>'Weekly overview'!$B$25+(2)</f>
        <v/>
      </c>
      <c r="C96" s="39" t="inlineStr">
        <is>
          <t>Thu</t>
        </is>
      </c>
      <c r="D96" s="39" t="inlineStr">
        <is>
          <t>How to choose an MES: 12 questions to ask every vendor</t>
        </is>
      </c>
      <c r="E96" s="39" t="inlineStr">
        <is>
          <t>Implementation</t>
        </is>
      </c>
      <c r="F96" s="39" t="inlineStr">
        <is>
          <t>Checklist</t>
        </is>
      </c>
      <c r="G96" s="41" t="inlineStr">
        <is>
          <t>Four of the 12 questions I'd never skip.</t>
        </is>
      </c>
      <c r="H96" s="39" t="inlineStr">
        <is>
          <t>• Is it one data model or several?
• What's configuration vs custom code?
• How do upgrades work?
• Who supports it in year three? Carousel with all 12</t>
        </is>
      </c>
      <c r="I96" s="39" t="inlineStr">
        <is>
          <t>Document carousel (PDF), one item per page.</t>
        </is>
      </c>
      <c r="J96" s="39" t="inlineStr">
        <is>
          <t>Thread, one item per post.</t>
        </is>
      </c>
      <c r="K96" s="39" t="inlineStr">
        <is>
          <t>Carousel, one item per slide.</t>
        </is>
      </c>
      <c r="L96" s="39" t="inlineStr">
        <is>
          <t>No link (keeps reach up)</t>
        </is>
      </c>
      <c r="M96" s="39" t="n">
        <v>3</v>
      </c>
      <c r="N96" s="42" t="inlineStr">
        <is>
          <t>Planned</t>
        </is>
      </c>
      <c r="O96" s="42" t="n"/>
    </row>
    <row r="97" ht="23.25" customHeight="1" s="27">
      <c r="A97" s="39" t="n">
        <v>24</v>
      </c>
      <c r="B97" s="40">
        <f>'Weekly overview'!$B$25+(3)</f>
        <v/>
      </c>
      <c r="C97" s="39" t="inlineStr">
        <is>
          <t>Fri</t>
        </is>
      </c>
      <c r="D97" s="39" t="inlineStr">
        <is>
          <t>How to choose an MES: 12 questions to ask every vendor</t>
        </is>
      </c>
      <c r="E97" s="39" t="inlineStr">
        <is>
          <t>Implementation</t>
        </is>
      </c>
      <c r="F97" s="39" t="inlineStr">
        <is>
          <t>Question / poll</t>
        </is>
      </c>
      <c r="G97" s="41" t="inlineStr">
        <is>
          <t>What mattered most when you chose your MES?</t>
        </is>
      </c>
      <c r="H97" s="39" t="inlineStr">
        <is>
          <t>• Poll: functionality / price / user experience / the partner
• Comment: what do you wish you'd asked?</t>
        </is>
      </c>
      <c r="I97" s="39" t="inlineStr">
        <is>
          <t>LinkedIn poll (1 week). Reply to comments.</t>
        </is>
      </c>
      <c r="J97" s="39" t="inlineStr">
        <is>
          <t>Poll.</t>
        </is>
      </c>
      <c r="K97" s="39" t="inlineStr">
        <is>
          <t>Story poll, plus a quote graphic in the feed.</t>
        </is>
      </c>
      <c r="L97" s="39" t="inlineStr">
        <is>
          <t>No link (keeps reach up)</t>
        </is>
      </c>
      <c r="M97" s="39" t="n">
        <v>4</v>
      </c>
      <c r="N97" s="42" t="inlineStr">
        <is>
          <t>Planned</t>
        </is>
      </c>
      <c r="O97" s="42" t="n"/>
    </row>
    <row r="98" ht="23.25" customHeight="1" s="27">
      <c r="A98" s="33" t="n">
        <v>25</v>
      </c>
      <c r="B98" s="34">
        <f>'Weekly overview'!$B$26+(-1)</f>
        <v/>
      </c>
      <c r="C98" s="33" t="inlineStr">
        <is>
          <t>Mon</t>
        </is>
      </c>
      <c r="D98" s="33" t="inlineStr">
        <is>
          <t>SPC on the shopfloor: catch the drift before it becomes scrap</t>
        </is>
      </c>
      <c r="E98" s="33" t="inlineStr">
        <is>
          <t>Foundations</t>
        </is>
      </c>
      <c r="F98" s="33" t="inlineStr">
        <is>
          <t>Myth vs reality</t>
        </is>
      </c>
      <c r="G98" s="35" t="inlineStr">
        <is>
          <t>Myth: if parts are in spec, the process is under control.</t>
        </is>
      </c>
      <c r="H98" s="33" t="inlineStr">
        <is>
          <t>• Reality: a process can drift for hours inside the spec limits
• SPC catches the trend before the scrap</t>
        </is>
      </c>
      <c r="I98" s="33" t="inlineStr">
        <is>
          <t>Text post or document carousel. No link.</t>
        </is>
      </c>
      <c r="J98" s="33" t="inlineStr">
        <is>
          <t>Single post.</t>
        </is>
      </c>
      <c r="K98" s="33" t="inlineStr">
        <is>
          <t>Carousel: myth slide, reality slide.</t>
        </is>
      </c>
      <c r="L98" s="33" t="inlineStr">
        <is>
          <t>No link (keeps reach up)</t>
        </is>
      </c>
      <c r="M98" s="33" t="n">
        <v>1</v>
      </c>
      <c r="N98" s="36" t="inlineStr">
        <is>
          <t>Planned</t>
        </is>
      </c>
      <c r="O98" s="36" t="n"/>
    </row>
    <row r="99" ht="45.75" customHeight="1" s="27">
      <c r="A99" s="33" t="n">
        <v>25</v>
      </c>
      <c r="B99" s="34">
        <f>'Weekly overview'!$B$26+(0)</f>
        <v/>
      </c>
      <c r="C99" s="33" t="inlineStr">
        <is>
          <t>Tue</t>
        </is>
      </c>
      <c r="D99" s="33" t="inlineStr">
        <is>
          <t>SPC on the shopfloor: catch the drift before it becomes scrap</t>
        </is>
      </c>
      <c r="E99" s="33" t="inlineStr">
        <is>
          <t>Foundations</t>
        </is>
      </c>
      <c r="F99" s="37" t="inlineStr">
        <is>
          <t>Article post</t>
        </is>
      </c>
      <c r="G99" s="37" t="inlineStr">
        <is>
          <t>Catch the drift before it becomes scrap. SPC explained for operations leaders.</t>
        </is>
      </c>
      <c r="H99" s="33" t="inlineStr">
        <is>
          <t>• Specification limits and control limits are not the same
• Control charts and the rules that matter
• Cp and Cpk without the maths lecture
• Why SPC belongs at the line, in MES/MOM</t>
        </is>
      </c>
      <c r="I99" s="33" t="inlineStr">
        <is>
          <t>Text post, 150–250 words. Article link in the FIRST COMMENT.</t>
        </is>
      </c>
      <c r="J99" s="33" t="inlineStr">
        <is>
          <t>Thread, 5–7 posts. Link in the last post.</t>
        </is>
      </c>
      <c r="K99" s="33" t="inlineStr">
        <is>
          <t>Carousel, 7–9 slides. 'Link in bio' on the last slide.</t>
        </is>
      </c>
      <c r="L99" s="38" t="inlineStr">
        <is>
          <t>https://www.mesmatters.com/post/spc-on-the-shopfloor</t>
        </is>
      </c>
      <c r="M99" s="33" t="n">
        <v>2</v>
      </c>
      <c r="N99" s="36" t="inlineStr">
        <is>
          <t>Planned</t>
        </is>
      </c>
      <c r="O99" s="36" t="n"/>
    </row>
    <row r="100" ht="23.25" customHeight="1" s="27">
      <c r="A100" s="33" t="n">
        <v>25</v>
      </c>
      <c r="B100" s="34">
        <f>'Weekly overview'!$B$26+(2)</f>
        <v/>
      </c>
      <c r="C100" s="33" t="inlineStr">
        <is>
          <t>Thu</t>
        </is>
      </c>
      <c r="D100" s="33" t="inlineStr">
        <is>
          <t>SPC on the shopfloor: catch the drift before it becomes scrap</t>
        </is>
      </c>
      <c r="E100" s="33" t="inlineStr">
        <is>
          <t>Foundations</t>
        </is>
      </c>
      <c r="F100" s="33" t="inlineStr">
        <is>
          <t>Stat or framework</t>
        </is>
      </c>
      <c r="G100" s="35" t="inlineStr">
        <is>
          <t>Spec limits vs control limits on one chart.</t>
        </is>
      </c>
      <c r="H100" s="33" t="inlineStr">
        <is>
          <t>• Graphic: a drifting process staying in spec until it doesn't
• Carousel</t>
        </is>
      </c>
      <c r="I100" s="33" t="inlineStr">
        <is>
          <t>Image or document carousel. No link.</t>
        </is>
      </c>
      <c r="J100" s="33" t="inlineStr">
        <is>
          <t>Single post with the image.</t>
        </is>
      </c>
      <c r="K100" s="33" t="inlineStr">
        <is>
          <t>Carousel, 5–7 slides.</t>
        </is>
      </c>
      <c r="L100" s="33" t="inlineStr">
        <is>
          <t>No link (keeps reach up)</t>
        </is>
      </c>
      <c r="M100" s="33" t="n">
        <v>3</v>
      </c>
      <c r="N100" s="36" t="inlineStr">
        <is>
          <t>Planned</t>
        </is>
      </c>
      <c r="O100" s="36" t="n"/>
    </row>
    <row r="101" ht="34.5" customHeight="1" s="27">
      <c r="A101" s="33" t="n">
        <v>25</v>
      </c>
      <c r="B101" s="34">
        <f>'Weekly overview'!$B$26+(3)</f>
        <v/>
      </c>
      <c r="C101" s="33" t="inlineStr">
        <is>
          <t>Fri</t>
        </is>
      </c>
      <c r="D101" s="33" t="inlineStr">
        <is>
          <t>SPC on the shopfloor: catch the drift before it becomes scrap</t>
        </is>
      </c>
      <c r="E101" s="33" t="inlineStr">
        <is>
          <t>Foundations</t>
        </is>
      </c>
      <c r="F101" s="33" t="inlineStr">
        <is>
          <t>Question / poll</t>
        </is>
      </c>
      <c r="G101" s="35" t="inlineStr">
        <is>
          <t>Where is SPC done in your factory?</t>
        </is>
      </c>
      <c r="H101" s="33" t="inlineStr">
        <is>
          <t>• Poll: at the line in real time / in a quality office later / in Excel / not at all
• Comment: who acts on it?</t>
        </is>
      </c>
      <c r="I101" s="33" t="inlineStr">
        <is>
          <t>LinkedIn poll (1 week). Reply to comments.</t>
        </is>
      </c>
      <c r="J101" s="33" t="inlineStr">
        <is>
          <t>Poll.</t>
        </is>
      </c>
      <c r="K101" s="33" t="inlineStr">
        <is>
          <t>Story poll, plus a quote graphic in the feed.</t>
        </is>
      </c>
      <c r="L101" s="33" t="inlineStr">
        <is>
          <t>No link (keeps reach up)</t>
        </is>
      </c>
      <c r="M101" s="33" t="n">
        <v>4</v>
      </c>
      <c r="N101" s="36" t="inlineStr">
        <is>
          <t>Planned</t>
        </is>
      </c>
      <c r="O101" s="36" t="n"/>
    </row>
    <row r="102" ht="23.25" customHeight="1" s="27">
      <c r="A102" s="39" t="n">
        <v>26</v>
      </c>
      <c r="B102" s="40">
        <f>'Weekly overview'!$B$27+(-1)</f>
        <v/>
      </c>
      <c r="C102" s="39" t="inlineStr">
        <is>
          <t>Mon</t>
        </is>
      </c>
      <c r="D102" s="39" t="inlineStr">
        <is>
          <t>AI for the frontline: copilots, shift summaries and coaching</t>
        </is>
      </c>
      <c r="E102" s="39" t="inlineStr">
        <is>
          <t>Smart Factory &amp; AI</t>
        </is>
      </c>
      <c r="F102" s="39" t="inlineStr">
        <is>
          <t>Contrarian take</t>
        </is>
      </c>
      <c r="G102" s="41" t="inlineStr">
        <is>
          <t>The best use of shopfloor AI isn't replacing operators. It's catching them up.</t>
        </is>
      </c>
      <c r="H102" s="39" t="inlineStr">
        <is>
          <t>• Experience walks out the door every year
• AI can make what your best people know available to everyone</t>
        </is>
      </c>
      <c r="I102" s="39" t="inlineStr">
        <is>
          <t>Short text post, 50–120 words. No link.</t>
        </is>
      </c>
      <c r="J102" s="39" t="inlineStr">
        <is>
          <t>Single post.</t>
        </is>
      </c>
      <c r="K102" s="39" t="inlineStr">
        <is>
          <t>Carousel: the take on slide 1, the reasoning over 3–4 slides.</t>
        </is>
      </c>
      <c r="L102" s="39" t="inlineStr">
        <is>
          <t>No link (keeps reach up)</t>
        </is>
      </c>
      <c r="M102" s="39" t="n">
        <v>1</v>
      </c>
      <c r="N102" s="42" t="inlineStr">
        <is>
          <t>Planned</t>
        </is>
      </c>
      <c r="O102" s="42" t="n"/>
    </row>
    <row r="103" ht="45.75" customHeight="1" s="27">
      <c r="A103" s="39" t="n">
        <v>26</v>
      </c>
      <c r="B103" s="40">
        <f>'Weekly overview'!$B$27+(0)</f>
        <v/>
      </c>
      <c r="C103" s="39" t="inlineStr">
        <is>
          <t>Tue</t>
        </is>
      </c>
      <c r="D103" s="39" t="inlineStr">
        <is>
          <t>AI for the frontline: copilots, shift summaries and coaching</t>
        </is>
      </c>
      <c r="E103" s="39" t="inlineStr">
        <is>
          <t>Smart Factory &amp; AI</t>
        </is>
      </c>
      <c r="F103" s="43" t="inlineStr">
        <is>
          <t>Article post</t>
        </is>
      </c>
      <c r="G103" s="43" t="inlineStr">
        <is>
          <t>AI for operators isn't about replacing people. It's about giving every new starter your best operator's knowledge.</t>
        </is>
      </c>
      <c r="H103" s="39" t="inlineStr">
        <is>
          <t>• Copilots, shift summaries and coaching are working today
• Context decides whether the answer is useful
• Keep people in charge of decisions
• New starters benefit most</t>
        </is>
      </c>
      <c r="I103" s="39" t="inlineStr">
        <is>
          <t>Text post, 150–250 words. Article link in the FIRST COMMENT.</t>
        </is>
      </c>
      <c r="J103" s="39" t="inlineStr">
        <is>
          <t>Thread, 5–7 posts. Link in the last post.</t>
        </is>
      </c>
      <c r="K103" s="39" t="inlineStr">
        <is>
          <t>Carousel, 7–9 slides. 'Link in bio' on the last slide.</t>
        </is>
      </c>
      <c r="L103" s="44" t="inlineStr">
        <is>
          <t>https://www.mesmatters.com/post/ai-for-frontline-workers</t>
        </is>
      </c>
      <c r="M103" s="39" t="n">
        <v>2</v>
      </c>
      <c r="N103" s="42" t="inlineStr">
        <is>
          <t>Planned</t>
        </is>
      </c>
      <c r="O103" s="42" t="n"/>
    </row>
    <row r="104" ht="34.5" customHeight="1" s="27">
      <c r="A104" s="39" t="n">
        <v>26</v>
      </c>
      <c r="B104" s="40">
        <f>'Weekly overview'!$B$27+(2)</f>
        <v/>
      </c>
      <c r="C104" s="39" t="inlineStr">
        <is>
          <t>Thu</t>
        </is>
      </c>
      <c r="D104" s="39" t="inlineStr">
        <is>
          <t>AI for the frontline: copilots, shift summaries and coaching</t>
        </is>
      </c>
      <c r="E104" s="39" t="inlineStr">
        <is>
          <t>Smart Factory &amp; AI</t>
        </is>
      </c>
      <c r="F104" s="39" t="inlineStr">
        <is>
          <t>Question / poll</t>
        </is>
      </c>
      <c r="G104" s="41" t="inlineStr">
        <is>
          <t>Which would help your operators most?</t>
        </is>
      </c>
      <c r="H104" s="39" t="inlineStr">
        <is>
          <t>• Poll: plain-English answers / shift summaries / guided troubleshooting / training coach
• Comment: why?</t>
        </is>
      </c>
      <c r="I104" s="39" t="inlineStr">
        <is>
          <t>LinkedIn poll (1 week). Reply to comments.</t>
        </is>
      </c>
      <c r="J104" s="39" t="inlineStr">
        <is>
          <t>Poll.</t>
        </is>
      </c>
      <c r="K104" s="39" t="inlineStr">
        <is>
          <t>Story poll, plus a quote graphic in the feed.</t>
        </is>
      </c>
      <c r="L104" s="39" t="inlineStr">
        <is>
          <t>No link (keeps reach up)</t>
        </is>
      </c>
      <c r="M104" s="39" t="n">
        <v>3</v>
      </c>
      <c r="N104" s="42" t="inlineStr">
        <is>
          <t>Planned</t>
        </is>
      </c>
      <c r="O104" s="42" t="n"/>
    </row>
    <row r="105" ht="34.5" customHeight="1" s="27">
      <c r="A105" s="39" t="n">
        <v>26</v>
      </c>
      <c r="B105" s="40">
        <f>'Weekly overview'!$B$27+(3)</f>
        <v/>
      </c>
      <c r="C105" s="39" t="inlineStr">
        <is>
          <t>Fri</t>
        </is>
      </c>
      <c r="D105" s="39" t="inlineStr">
        <is>
          <t>AI for the frontline: copilots, shift summaries and coaching</t>
        </is>
      </c>
      <c r="E105" s="39" t="inlineStr">
        <is>
          <t>Smart Factory &amp; AI</t>
        </is>
      </c>
      <c r="F105" s="39" t="inlineStr">
        <is>
          <t>Story (your experience)</t>
        </is>
      </c>
      <c r="G105" s="41" t="inlineStr">
        <is>
          <t>Story prompt: an experienced operator whose knowledge you wish you'd captured.</t>
        </is>
      </c>
      <c r="H105" s="39" t="inlineStr">
        <is>
          <t>• Your experience, anonymised
• What did they know that wasn't written down?. End: how are you capturing it now?</t>
        </is>
      </c>
      <c r="I105" s="39" t="inlineStr">
        <is>
          <t>Story post, 150–250 words, from your own experience. No link.</t>
        </is>
      </c>
      <c r="J105" s="39" t="inlineStr">
        <is>
          <t>Short thread, 3–4 posts.</t>
        </is>
      </c>
      <c r="K105" s="39" t="inlineStr">
        <is>
          <t>Reel: 30–45 sec talking to camera.</t>
        </is>
      </c>
      <c r="L105" s="39" t="inlineStr">
        <is>
          <t>No link (keeps reach up)</t>
        </is>
      </c>
      <c r="M105" s="39" t="n">
        <v>4</v>
      </c>
      <c r="N105" s="42" t="inlineStr">
        <is>
          <t>Planned</t>
        </is>
      </c>
      <c r="O105" s="42" t="n"/>
    </row>
    <row r="106" ht="34.5" customHeight="1" s="27">
      <c r="A106" s="33" t="n">
        <v>27</v>
      </c>
      <c r="B106" s="34">
        <f>'Weekly overview'!$B$28+(-1)</f>
        <v/>
      </c>
      <c r="C106" s="33" t="inlineStr">
        <is>
          <t>Mon</t>
        </is>
      </c>
      <c r="D106" s="33" t="inlineStr">
        <is>
          <t>Eight smart manufacturing myths that refuse to die</t>
        </is>
      </c>
      <c r="E106" s="33" t="inlineStr">
        <is>
          <t>Smart Factory &amp; AI</t>
        </is>
      </c>
      <c r="F106" s="33" t="inlineStr">
        <is>
          <t>Myth vs reality</t>
        </is>
      </c>
      <c r="G106" s="35" t="inlineStr">
        <is>
          <t>Myth: 'Excel is good enough.'</t>
        </is>
      </c>
      <c r="H106" s="33" t="inlineStr">
        <is>
          <t>• Reality: Excel is brilliant for analysis, terrible as a system of record
• No audit trail, no real-time view, one wrong formula away from a bad decision</t>
        </is>
      </c>
      <c r="I106" s="33" t="inlineStr">
        <is>
          <t>Text post or document carousel. No link.</t>
        </is>
      </c>
      <c r="J106" s="33" t="inlineStr">
        <is>
          <t>Single post.</t>
        </is>
      </c>
      <c r="K106" s="33" t="inlineStr">
        <is>
          <t>Carousel: myth slide, reality slide.</t>
        </is>
      </c>
      <c r="L106" s="33" t="inlineStr">
        <is>
          <t>No link (keeps reach up)</t>
        </is>
      </c>
      <c r="M106" s="33" t="n">
        <v>1</v>
      </c>
      <c r="N106" s="36" t="inlineStr">
        <is>
          <t>Planned</t>
        </is>
      </c>
      <c r="O106" s="36" t="n"/>
    </row>
    <row r="107" ht="45.75" customHeight="1" s="27">
      <c r="A107" s="33" t="n">
        <v>27</v>
      </c>
      <c r="B107" s="34">
        <f>'Weekly overview'!$B$28+(0)</f>
        <v/>
      </c>
      <c r="C107" s="33" t="inlineStr">
        <is>
          <t>Tue</t>
        </is>
      </c>
      <c r="D107" s="33" t="inlineStr">
        <is>
          <t>Eight smart manufacturing myths that refuse to die</t>
        </is>
      </c>
      <c r="E107" s="33" t="inlineStr">
        <is>
          <t>Smart Factory &amp; AI</t>
        </is>
      </c>
      <c r="F107" s="37" t="inlineStr">
        <is>
          <t>Article post</t>
        </is>
      </c>
      <c r="G107" s="37" t="inlineStr">
        <is>
          <t>Eight smart manufacturing myths I hear every week.</t>
        </is>
      </c>
      <c r="H107" s="33" t="inlineStr">
        <is>
          <t>• 'AI will solve everything' and 'Excel is good enough'
• 'IIoT replaces MES' and 'connected worker is the same as MES'
• 'Our processes are unique' and 'we'll build our own'
• Plus two more in the article</t>
        </is>
      </c>
      <c r="I107" s="33" t="inlineStr">
        <is>
          <t>Text post, 150–250 words. Article link in the FIRST COMMENT.</t>
        </is>
      </c>
      <c r="J107" s="33" t="inlineStr">
        <is>
          <t>Thread, 5–7 posts. Link in the last post.</t>
        </is>
      </c>
      <c r="K107" s="33" t="inlineStr">
        <is>
          <t>Carousel, 7–9 slides. 'Link in bio' on the last slide.</t>
        </is>
      </c>
      <c r="L107" s="38" t="inlineStr">
        <is>
          <t>https://www.mesmatters.com/post/smart-manufacturing-myths</t>
        </is>
      </c>
      <c r="M107" s="33" t="n">
        <v>2</v>
      </c>
      <c r="N107" s="36" t="inlineStr">
        <is>
          <t>Planned</t>
        </is>
      </c>
      <c r="O107" s="36" t="n"/>
    </row>
    <row r="108" ht="34.5" customHeight="1" s="27">
      <c r="A108" s="33" t="n">
        <v>27</v>
      </c>
      <c r="B108" s="34">
        <f>'Weekly overview'!$B$28+(2)</f>
        <v/>
      </c>
      <c r="C108" s="33" t="inlineStr">
        <is>
          <t>Thu</t>
        </is>
      </c>
      <c r="D108" s="33" t="inlineStr">
        <is>
          <t>Eight smart manufacturing myths that refuse to die</t>
        </is>
      </c>
      <c r="E108" s="33" t="inlineStr">
        <is>
          <t>Smart Factory &amp; AI</t>
        </is>
      </c>
      <c r="F108" s="33" t="inlineStr">
        <is>
          <t>Question / poll</t>
        </is>
      </c>
      <c r="G108" s="35" t="inlineStr">
        <is>
          <t>Which myth have you heard most this year?</t>
        </is>
      </c>
      <c r="H108" s="33" t="inlineStr">
        <is>
          <t>• Poll: AI will solve everything / Excel is good enough / IIoT replaces MES / we'll build our own
• Comment with the one I missed</t>
        </is>
      </c>
      <c r="I108" s="33" t="inlineStr">
        <is>
          <t>LinkedIn poll (1 week). Reply to comments.</t>
        </is>
      </c>
      <c r="J108" s="33" t="inlineStr">
        <is>
          <t>Poll.</t>
        </is>
      </c>
      <c r="K108" s="33" t="inlineStr">
        <is>
          <t>Story poll, plus a quote graphic in the feed.</t>
        </is>
      </c>
      <c r="L108" s="33" t="inlineStr">
        <is>
          <t>No link (keeps reach up)</t>
        </is>
      </c>
      <c r="M108" s="33" t="n">
        <v>3</v>
      </c>
      <c r="N108" s="36" t="inlineStr">
        <is>
          <t>Planned</t>
        </is>
      </c>
      <c r="O108" s="36" t="n"/>
    </row>
    <row r="109" ht="23.25" customHeight="1" s="27">
      <c r="A109" s="33" t="n">
        <v>27</v>
      </c>
      <c r="B109" s="34">
        <f>'Weekly overview'!$B$28+(3)</f>
        <v/>
      </c>
      <c r="C109" s="33" t="inlineStr">
        <is>
          <t>Fri</t>
        </is>
      </c>
      <c r="D109" s="33" t="inlineStr">
        <is>
          <t>Eight smart manufacturing myths that refuse to die</t>
        </is>
      </c>
      <c r="E109" s="33" t="inlineStr">
        <is>
          <t>Smart Factory &amp; AI</t>
        </is>
      </c>
      <c r="F109" s="33" t="inlineStr">
        <is>
          <t>Myth vs reality</t>
        </is>
      </c>
      <c r="G109" s="35" t="inlineStr">
        <is>
          <t>Myth: 'We'll build our own.'</t>
        </is>
      </c>
      <c r="H109" s="33" t="inlineStr">
        <is>
          <t>• Reality: building is the easy part. Maintaining it for 15 years isn't
• Ask who supports it when the developer leaves</t>
        </is>
      </c>
      <c r="I109" s="33" t="inlineStr">
        <is>
          <t>Text post or document carousel. No link.</t>
        </is>
      </c>
      <c r="J109" s="33" t="inlineStr">
        <is>
          <t>Single post.</t>
        </is>
      </c>
      <c r="K109" s="33" t="inlineStr">
        <is>
          <t>Carousel: myth slide, reality slide.</t>
        </is>
      </c>
      <c r="L109" s="33" t="inlineStr">
        <is>
          <t>No link (keeps reach up)</t>
        </is>
      </c>
      <c r="M109" s="33" t="n">
        <v>4</v>
      </c>
      <c r="N109" s="36" t="inlineStr">
        <is>
          <t>Planned</t>
        </is>
      </c>
      <c r="O109" s="36" t="n"/>
    </row>
    <row r="110" ht="23.25" customHeight="1" s="27">
      <c r="A110" s="39" t="n">
        <v>28</v>
      </c>
      <c r="B110" s="40">
        <f>'Weekly overview'!$B$29+(-1)</f>
        <v/>
      </c>
      <c r="C110" s="39" t="inlineStr">
        <is>
          <t>Mon</t>
        </is>
      </c>
      <c r="D110" s="39" t="inlineStr">
        <is>
          <t>EAM, CMMS and MES: who owns the maintenance work order?</t>
        </is>
      </c>
      <c r="E110" s="39" t="inlineStr">
        <is>
          <t>Foundations</t>
        </is>
      </c>
      <c r="F110" s="39" t="inlineStr">
        <is>
          <t>Stat or framework</t>
        </is>
      </c>
      <c r="G110" s="41" t="inlineStr">
        <is>
          <t>Downtime event → fault → work order → repair → back to production. Who owns each step?</t>
        </is>
      </c>
      <c r="H110" s="39" t="inlineStr">
        <is>
          <t>• Graphic: the maintenance hand-offs
• Carousel</t>
        </is>
      </c>
      <c r="I110" s="39" t="inlineStr">
        <is>
          <t>Image or document carousel. No link.</t>
        </is>
      </c>
      <c r="J110" s="39" t="inlineStr">
        <is>
          <t>Single post with the image.</t>
        </is>
      </c>
      <c r="K110" s="39" t="inlineStr">
        <is>
          <t>Carousel, 5–7 slides.</t>
        </is>
      </c>
      <c r="L110" s="39" t="inlineStr">
        <is>
          <t>No link (keeps reach up)</t>
        </is>
      </c>
      <c r="M110" s="39" t="n">
        <v>1</v>
      </c>
      <c r="N110" s="42" t="inlineStr">
        <is>
          <t>Planned</t>
        </is>
      </c>
      <c r="O110" s="42" t="n"/>
    </row>
    <row r="111" ht="45.75" customHeight="1" s="27">
      <c r="A111" s="39" t="n">
        <v>28</v>
      </c>
      <c r="B111" s="40">
        <f>'Weekly overview'!$B$29+(0)</f>
        <v/>
      </c>
      <c r="C111" s="39" t="inlineStr">
        <is>
          <t>Tue</t>
        </is>
      </c>
      <c r="D111" s="39" t="inlineStr">
        <is>
          <t>EAM, CMMS and MES: who owns the maintenance work order?</t>
        </is>
      </c>
      <c r="E111" s="39" t="inlineStr">
        <is>
          <t>Foundations</t>
        </is>
      </c>
      <c r="F111" s="43" t="inlineStr">
        <is>
          <t>Article post</t>
        </is>
      </c>
      <c r="G111" s="43" t="inlineStr">
        <is>
          <t>EAM, CMMS and MES: who owns the maintenance work order?</t>
        </is>
      </c>
      <c r="H111" s="39" t="inlineStr">
        <is>
          <t>• Maintenance data sits in up to four systems
• Where each one's job starts and stops
• Integration options that keep downtime consistent
• A few rules that hold whichever option you pick</t>
        </is>
      </c>
      <c r="I111" s="39" t="inlineStr">
        <is>
          <t>Text post, 150–250 words. Article link in the FIRST COMMENT.</t>
        </is>
      </c>
      <c r="J111" s="39" t="inlineStr">
        <is>
          <t>Thread, 5–7 posts. Link in the last post.</t>
        </is>
      </c>
      <c r="K111" s="39" t="inlineStr">
        <is>
          <t>Carousel, 7–9 slides. 'Link in bio' on the last slide.</t>
        </is>
      </c>
      <c r="L111" s="44" t="inlineStr">
        <is>
          <t>https://www.mesmatters.com/post/eam-cmms-and-mes</t>
        </is>
      </c>
      <c r="M111" s="39" t="n">
        <v>2</v>
      </c>
      <c r="N111" s="42" t="inlineStr">
        <is>
          <t>Planned</t>
        </is>
      </c>
      <c r="O111" s="42" t="n"/>
    </row>
    <row r="112" ht="23.25" customHeight="1" s="27">
      <c r="A112" s="39" t="n">
        <v>28</v>
      </c>
      <c r="B112" s="40">
        <f>'Weekly overview'!$B$29+(2)</f>
        <v/>
      </c>
      <c r="C112" s="39" t="inlineStr">
        <is>
          <t>Thu</t>
        </is>
      </c>
      <c r="D112" s="39" t="inlineStr">
        <is>
          <t>EAM, CMMS and MES: who owns the maintenance work order?</t>
        </is>
      </c>
      <c r="E112" s="39" t="inlineStr">
        <is>
          <t>Foundations</t>
        </is>
      </c>
      <c r="F112" s="39" t="inlineStr">
        <is>
          <t>Question / poll</t>
        </is>
      </c>
      <c r="G112" s="41" t="inlineStr">
        <is>
          <t>Where do maintenance work orders live in your factory?</t>
        </is>
      </c>
      <c r="H112" s="39" t="inlineStr">
        <is>
          <t>• Poll: EAM / CMMS / ERP / MES/MOM
• Comment: does production see them?</t>
        </is>
      </c>
      <c r="I112" s="39" t="inlineStr">
        <is>
          <t>LinkedIn poll (1 week). Reply to comments.</t>
        </is>
      </c>
      <c r="J112" s="39" t="inlineStr">
        <is>
          <t>Poll.</t>
        </is>
      </c>
      <c r="K112" s="39" t="inlineStr">
        <is>
          <t>Story poll, plus a quote graphic in the feed.</t>
        </is>
      </c>
      <c r="L112" s="39" t="inlineStr">
        <is>
          <t>No link (keeps reach up)</t>
        </is>
      </c>
      <c r="M112" s="39" t="n">
        <v>3</v>
      </c>
      <c r="N112" s="42" t="inlineStr">
        <is>
          <t>Planned</t>
        </is>
      </c>
      <c r="O112" s="42" t="n"/>
    </row>
    <row r="113" ht="23.25" customHeight="1" s="27">
      <c r="A113" s="39" t="n">
        <v>28</v>
      </c>
      <c r="B113" s="40">
        <f>'Weekly overview'!$B$29+(3)</f>
        <v/>
      </c>
      <c r="C113" s="39" t="inlineStr">
        <is>
          <t>Fri</t>
        </is>
      </c>
      <c r="D113" s="39" t="inlineStr">
        <is>
          <t>EAM, CMMS and MES: who owns the maintenance work order?</t>
        </is>
      </c>
      <c r="E113" s="39" t="inlineStr">
        <is>
          <t>Foundations</t>
        </is>
      </c>
      <c r="F113" s="39" t="inlineStr">
        <is>
          <t>Contrarian take</t>
        </is>
      </c>
      <c r="G113" s="41" t="inlineStr">
        <is>
          <t>If an operator has to phone maintenance to report a fault, your systems aren't talking.</t>
        </is>
      </c>
      <c r="H113" s="39" t="inlineStr">
        <is>
          <t>• Fault reporting should start where the downtime is recorded
• One event, both teams</t>
        </is>
      </c>
      <c r="I113" s="39" t="inlineStr">
        <is>
          <t>Short text post, 50–120 words. No link.</t>
        </is>
      </c>
      <c r="J113" s="39" t="inlineStr">
        <is>
          <t>Single post.</t>
        </is>
      </c>
      <c r="K113" s="39" t="inlineStr">
        <is>
          <t>Carousel: the take on slide 1, the reasoning over 3–4 slides.</t>
        </is>
      </c>
      <c r="L113" s="39" t="inlineStr">
        <is>
          <t>No link (keeps reach up)</t>
        </is>
      </c>
      <c r="M113" s="39" t="n">
        <v>4</v>
      </c>
      <c r="N113" s="42" t="inlineStr">
        <is>
          <t>Planned</t>
        </is>
      </c>
      <c r="O113" s="42" t="n"/>
    </row>
    <row r="114" ht="23.25" customHeight="1" s="27">
      <c r="A114" s="33" t="n">
        <v>29</v>
      </c>
      <c r="B114" s="34">
        <f>'Weekly overview'!$B$30+(-1)</f>
        <v/>
      </c>
      <c r="C114" s="33" t="inlineStr">
        <is>
          <t>Mon</t>
        </is>
      </c>
      <c r="D114" s="33" t="inlineStr">
        <is>
          <t>MES functionality: maintenance</t>
        </is>
      </c>
      <c r="E114" s="33" t="inlineStr">
        <is>
          <t>Foundations</t>
        </is>
      </c>
      <c r="F114" s="33" t="inlineStr">
        <is>
          <t>Contrarian take</t>
        </is>
      </c>
      <c r="G114" s="35" t="inlineStr">
        <is>
          <t>Autonomous maintenance fails when operators have to use a different system to log what they find.</t>
        </is>
      </c>
      <c r="H114" s="33" t="inlineStr">
        <is>
          <t>• Make it part of the production screen
• Small checks, captured where the work happens</t>
        </is>
      </c>
      <c r="I114" s="33" t="inlineStr">
        <is>
          <t>Short text post, 50–120 words. No link.</t>
        </is>
      </c>
      <c r="J114" s="33" t="inlineStr">
        <is>
          <t>Single post.</t>
        </is>
      </c>
      <c r="K114" s="33" t="inlineStr">
        <is>
          <t>Carousel: the take on slide 1, the reasoning over 3–4 slides.</t>
        </is>
      </c>
      <c r="L114" s="33" t="inlineStr">
        <is>
          <t>No link (keeps reach up)</t>
        </is>
      </c>
      <c r="M114" s="33" t="n">
        <v>1</v>
      </c>
      <c r="N114" s="36" t="inlineStr">
        <is>
          <t>Planned</t>
        </is>
      </c>
      <c r="O114" s="36" t="n"/>
    </row>
    <row r="115" ht="45.75" customHeight="1" s="27">
      <c r="A115" s="33" t="n">
        <v>29</v>
      </c>
      <c r="B115" s="34">
        <f>'Weekly overview'!$B$30+(0)</f>
        <v/>
      </c>
      <c r="C115" s="33" t="inlineStr">
        <is>
          <t>Tue</t>
        </is>
      </c>
      <c r="D115" s="33" t="inlineStr">
        <is>
          <t>MES functionality: maintenance</t>
        </is>
      </c>
      <c r="E115" s="33" t="inlineStr">
        <is>
          <t>Foundations</t>
        </is>
      </c>
      <c r="F115" s="37" t="inlineStr">
        <is>
          <t>Article post</t>
        </is>
      </c>
      <c r="G115" s="37" t="inlineStr">
        <is>
          <t>Maintenance belongs on the same platform as production. Here's why.</t>
        </is>
      </c>
      <c r="H115" s="33" t="inlineStr">
        <is>
          <t>• Production and maintenance need the same downtime data
• Operators are part of maintenance now
• When a separate CMMS or EAM genuinely makes sense
• The step towards predictive maintenance</t>
        </is>
      </c>
      <c r="I115" s="33" t="inlineStr">
        <is>
          <t>Text post, 150–250 words. Article link in the FIRST COMMENT.</t>
        </is>
      </c>
      <c r="J115" s="33" t="inlineStr">
        <is>
          <t>Thread, 5–7 posts. Link in the last post.</t>
        </is>
      </c>
      <c r="K115" s="33" t="inlineStr">
        <is>
          <t>Carousel, 7–9 slides. 'Link in bio' on the last slide.</t>
        </is>
      </c>
      <c r="L115" s="38" t="inlineStr">
        <is>
          <t>https://www.mesmatters.com/post/mes-functionality-maintenance</t>
        </is>
      </c>
      <c r="M115" s="33" t="n">
        <v>2</v>
      </c>
      <c r="N115" s="36" t="inlineStr">
        <is>
          <t>Planned</t>
        </is>
      </c>
      <c r="O115" s="36" t="n"/>
    </row>
    <row r="116" ht="23.25" customHeight="1" s="27">
      <c r="A116" s="33" t="n">
        <v>29</v>
      </c>
      <c r="B116" s="34">
        <f>'Weekly overview'!$B$30+(2)</f>
        <v/>
      </c>
      <c r="C116" s="33" t="inlineStr">
        <is>
          <t>Thu</t>
        </is>
      </c>
      <c r="D116" s="33" t="inlineStr">
        <is>
          <t>MES functionality: maintenance</t>
        </is>
      </c>
      <c r="E116" s="33" t="inlineStr">
        <is>
          <t>Foundations</t>
        </is>
      </c>
      <c r="F116" s="33" t="inlineStr">
        <is>
          <t>Question / poll</t>
        </is>
      </c>
      <c r="G116" s="35" t="inlineStr">
        <is>
          <t>Do your operators do any maintenance tasks?</t>
        </is>
      </c>
      <c r="H116" s="33" t="inlineStr">
        <is>
          <t>• Poll: yes, logged digitally / yes, on paper / informally / no
• Comment: what do they check?</t>
        </is>
      </c>
      <c r="I116" s="33" t="inlineStr">
        <is>
          <t>LinkedIn poll (1 week). Reply to comments.</t>
        </is>
      </c>
      <c r="J116" s="33" t="inlineStr">
        <is>
          <t>Poll.</t>
        </is>
      </c>
      <c r="K116" s="33" t="inlineStr">
        <is>
          <t>Story poll, plus a quote graphic in the feed.</t>
        </is>
      </c>
      <c r="L116" s="33" t="inlineStr">
        <is>
          <t>No link (keeps reach up)</t>
        </is>
      </c>
      <c r="M116" s="33" t="n">
        <v>3</v>
      </c>
      <c r="N116" s="36" t="inlineStr">
        <is>
          <t>Planned</t>
        </is>
      </c>
      <c r="O116" s="36" t="n"/>
    </row>
    <row r="117" ht="34.5" customHeight="1" s="27">
      <c r="A117" s="33" t="n">
        <v>29</v>
      </c>
      <c r="B117" s="34">
        <f>'Weekly overview'!$B$30+(3)</f>
        <v/>
      </c>
      <c r="C117" s="33" t="inlineStr">
        <is>
          <t>Fri</t>
        </is>
      </c>
      <c r="D117" s="33" t="inlineStr">
        <is>
          <t>MES functionality: maintenance</t>
        </is>
      </c>
      <c r="E117" s="33" t="inlineStr">
        <is>
          <t>Foundations</t>
        </is>
      </c>
      <c r="F117" s="33" t="inlineStr">
        <is>
          <t>Stat or framework</t>
        </is>
      </c>
      <c r="G117" s="35" t="inlineStr">
        <is>
          <t>Reactive → preventive → condition-based → predictive.</t>
        </is>
      </c>
      <c r="H117" s="33" t="inlineStr">
        <is>
          <t>• Graphic: the maintenance maturity steps and the data each one needs
• Carousel</t>
        </is>
      </c>
      <c r="I117" s="33" t="inlineStr">
        <is>
          <t>Image or document carousel. No link.</t>
        </is>
      </c>
      <c r="J117" s="33" t="inlineStr">
        <is>
          <t>Single post with the image.</t>
        </is>
      </c>
      <c r="K117" s="33" t="inlineStr">
        <is>
          <t>Carousel, 5–7 slides.</t>
        </is>
      </c>
      <c r="L117" s="33" t="inlineStr">
        <is>
          <t>No link (keeps reach up)</t>
        </is>
      </c>
      <c r="M117" s="33" t="n">
        <v>4</v>
      </c>
      <c r="N117" s="36" t="inlineStr">
        <is>
          <t>Planned</t>
        </is>
      </c>
      <c r="O117" s="36" t="n"/>
    </row>
    <row r="118" ht="34.5" customHeight="1" s="27">
      <c r="A118" s="39" t="n">
        <v>30</v>
      </c>
      <c r="B118" s="40">
        <f>'Weekly overview'!$B$31+(-1)</f>
        <v/>
      </c>
      <c r="C118" s="39" t="inlineStr">
        <is>
          <t>Mon</t>
        </is>
      </c>
      <c r="D118" s="39" t="inlineStr">
        <is>
          <t>Resistance to change is guaranteed. Plan for it.</t>
        </is>
      </c>
      <c r="E118" s="39" t="inlineStr">
        <is>
          <t>Implementation</t>
        </is>
      </c>
      <c r="F118" s="39" t="inlineStr">
        <is>
          <t>Story (your experience)</t>
        </is>
      </c>
      <c r="G118" s="41" t="inlineStr">
        <is>
          <t>Story prompt: the project where people, not technology, decided the outcome.</t>
        </is>
      </c>
      <c r="H118" s="39" t="inlineStr">
        <is>
          <t>• Your experience, anonymised
• What turned it around, or what would have?. End: what's your first move on a new project?</t>
        </is>
      </c>
      <c r="I118" s="39" t="inlineStr">
        <is>
          <t>Story post, 150–250 words, from your own experience. No link.</t>
        </is>
      </c>
      <c r="J118" s="39" t="inlineStr">
        <is>
          <t>Short thread, 3–4 posts.</t>
        </is>
      </c>
      <c r="K118" s="39" t="inlineStr">
        <is>
          <t>Reel: 30–45 sec talking to camera.</t>
        </is>
      </c>
      <c r="L118" s="39" t="inlineStr">
        <is>
          <t>No link (keeps reach up)</t>
        </is>
      </c>
      <c r="M118" s="39" t="n">
        <v>1</v>
      </c>
      <c r="N118" s="42" t="inlineStr">
        <is>
          <t>Planned</t>
        </is>
      </c>
      <c r="O118" s="42" t="n"/>
    </row>
    <row r="119" ht="45.75" customHeight="1" s="27">
      <c r="A119" s="39" t="n">
        <v>30</v>
      </c>
      <c r="B119" s="40">
        <f>'Weekly overview'!$B$31+(0)</f>
        <v/>
      </c>
      <c r="C119" s="39" t="inlineStr">
        <is>
          <t>Tue</t>
        </is>
      </c>
      <c r="D119" s="39" t="inlineStr">
        <is>
          <t>Resistance to change is guaranteed. Plan for it.</t>
        </is>
      </c>
      <c r="E119" s="39" t="inlineStr">
        <is>
          <t>Implementation</t>
        </is>
      </c>
      <c r="F119" s="43" t="inlineStr">
        <is>
          <t>Article post</t>
        </is>
      </c>
      <c r="G119" s="43" t="inlineStr">
        <is>
          <t>Resistance to change is guaranteed on every smart factory project. Plan for it.</t>
        </is>
      </c>
      <c r="H119" s="39" t="inlineStr">
        <is>
          <t>• Technology is the easy part
• Why good projects collapse after go-live
• What leadership actually has to do
• Invest in adoption, not just implementation</t>
        </is>
      </c>
      <c r="I119" s="39" t="inlineStr">
        <is>
          <t>Text post, 150–250 words. Article link in the FIRST COMMENT.</t>
        </is>
      </c>
      <c r="J119" s="39" t="inlineStr">
        <is>
          <t>Thread, 5–7 posts. Link in the last post.</t>
        </is>
      </c>
      <c r="K119" s="39" t="inlineStr">
        <is>
          <t>Carousel, 7–9 slides. 'Link in bio' on the last slide.</t>
        </is>
      </c>
      <c r="L119" s="44" t="inlineStr">
        <is>
          <t>https://www.mesmatters.com/post/manufacturing-change-management</t>
        </is>
      </c>
      <c r="M119" s="39" t="n">
        <v>2</v>
      </c>
      <c r="N119" s="42" t="inlineStr">
        <is>
          <t>Planned</t>
        </is>
      </c>
      <c r="O119" s="42" t="n"/>
    </row>
    <row r="120" ht="45.75" customHeight="1" s="27">
      <c r="A120" s="39" t="n">
        <v>30</v>
      </c>
      <c r="B120" s="40">
        <f>'Weekly overview'!$B$31+(2)</f>
        <v/>
      </c>
      <c r="C120" s="39" t="inlineStr">
        <is>
          <t>Thu</t>
        </is>
      </c>
      <c r="D120" s="39" t="inlineStr">
        <is>
          <t>Resistance to change is guaranteed. Plan for it.</t>
        </is>
      </c>
      <c r="E120" s="39" t="inlineStr">
        <is>
          <t>Implementation</t>
        </is>
      </c>
      <c r="F120" s="39" t="inlineStr">
        <is>
          <t>Checklist</t>
        </is>
      </c>
      <c r="G120" s="41" t="inlineStr">
        <is>
          <t>Four things leadership must do on a smart factory project.</t>
        </is>
      </c>
      <c r="H120" s="39" t="inlineStr">
        <is>
          <t>• Explain the why, repeatedly
• Involve the shopfloor early
• Remove blockers fast
• Stay visible after go-live. Carousel</t>
        </is>
      </c>
      <c r="I120" s="39" t="inlineStr">
        <is>
          <t>Document carousel (PDF), one item per page.</t>
        </is>
      </c>
      <c r="J120" s="39" t="inlineStr">
        <is>
          <t>Thread, one item per post.</t>
        </is>
      </c>
      <c r="K120" s="39" t="inlineStr">
        <is>
          <t>Carousel, one item per slide.</t>
        </is>
      </c>
      <c r="L120" s="39" t="inlineStr">
        <is>
          <t>No link (keeps reach up)</t>
        </is>
      </c>
      <c r="M120" s="39" t="n">
        <v>3</v>
      </c>
      <c r="N120" s="42" t="inlineStr">
        <is>
          <t>Planned</t>
        </is>
      </c>
      <c r="O120" s="42" t="n"/>
    </row>
    <row r="121" ht="34.5" customHeight="1" s="27">
      <c r="A121" s="39" t="n">
        <v>30</v>
      </c>
      <c r="B121" s="40">
        <f>'Weekly overview'!$B$31+(3)</f>
        <v/>
      </c>
      <c r="C121" s="39" t="inlineStr">
        <is>
          <t>Fri</t>
        </is>
      </c>
      <c r="D121" s="39" t="inlineStr">
        <is>
          <t>Resistance to change is guaranteed. Plan for it.</t>
        </is>
      </c>
      <c r="E121" s="39" t="inlineStr">
        <is>
          <t>Implementation</t>
        </is>
      </c>
      <c r="F121" s="39" t="inlineStr">
        <is>
          <t>Question / poll</t>
        </is>
      </c>
      <c r="G121" s="41" t="inlineStr">
        <is>
          <t>What's the biggest source of resistance you've seen?</t>
        </is>
      </c>
      <c r="H121" s="39" t="inlineStr">
        <is>
          <t>• Poll: fear of job loss / 'the old way works' / extra workload / no trust in data
• Comment: how did you handle it?</t>
        </is>
      </c>
      <c r="I121" s="39" t="inlineStr">
        <is>
          <t>LinkedIn poll (1 week). Reply to comments.</t>
        </is>
      </c>
      <c r="J121" s="39" t="inlineStr">
        <is>
          <t>Poll.</t>
        </is>
      </c>
      <c r="K121" s="39" t="inlineStr">
        <is>
          <t>Story poll, plus a quote graphic in the feed.</t>
        </is>
      </c>
      <c r="L121" s="39" t="inlineStr">
        <is>
          <t>No link (keeps reach up)</t>
        </is>
      </c>
      <c r="M121" s="39" t="n">
        <v>4</v>
      </c>
      <c r="N121" s="42" t="inlineStr">
        <is>
          <t>Planned</t>
        </is>
      </c>
      <c r="O121" s="42" t="n"/>
    </row>
    <row r="122" ht="23.25" customHeight="1" s="27">
      <c r="A122" s="33" t="n">
        <v>31</v>
      </c>
      <c r="B122" s="34">
        <f>'Weekly overview'!$B$32+(-1)</f>
        <v/>
      </c>
      <c r="C122" s="33" t="inlineStr">
        <is>
          <t>Mon</t>
        </is>
      </c>
      <c r="D122" s="33" t="inlineStr">
        <is>
          <t>LIMS and MES: getting lab results to the line before the batch moves on</t>
        </is>
      </c>
      <c r="E122" s="33" t="inlineStr">
        <is>
          <t>Foundations</t>
        </is>
      </c>
      <c r="F122" s="33" t="inlineStr">
        <is>
          <t>Stat or framework</t>
        </is>
      </c>
      <c r="G122" s="35" t="inlineStr">
        <is>
          <t>Sample request → lab test → result → batch decision. One flow, three systems.</t>
        </is>
      </c>
      <c r="H122" s="33" t="inlineStr">
        <is>
          <t>• Graphic: LIMS, MES/MOM and ERP roles
• Carousel</t>
        </is>
      </c>
      <c r="I122" s="33" t="inlineStr">
        <is>
          <t>Image or document carousel. No link.</t>
        </is>
      </c>
      <c r="J122" s="33" t="inlineStr">
        <is>
          <t>Single post with the image.</t>
        </is>
      </c>
      <c r="K122" s="33" t="inlineStr">
        <is>
          <t>Carousel, 5–7 slides.</t>
        </is>
      </c>
      <c r="L122" s="33" t="inlineStr">
        <is>
          <t>No link (keeps reach up)</t>
        </is>
      </c>
      <c r="M122" s="33" t="n">
        <v>1</v>
      </c>
      <c r="N122" s="36" t="inlineStr">
        <is>
          <t>Planned</t>
        </is>
      </c>
      <c r="O122" s="36" t="n"/>
    </row>
    <row r="123" ht="45.75" customHeight="1" s="27">
      <c r="A123" s="33" t="n">
        <v>31</v>
      </c>
      <c r="B123" s="34">
        <f>'Weekly overview'!$B$32+(0)</f>
        <v/>
      </c>
      <c r="C123" s="33" t="inlineStr">
        <is>
          <t>Tue</t>
        </is>
      </c>
      <c r="D123" s="33" t="inlineStr">
        <is>
          <t>LIMS and MES: getting lab results to the line before the batch moves on</t>
        </is>
      </c>
      <c r="E123" s="33" t="inlineStr">
        <is>
          <t>Foundations</t>
        </is>
      </c>
      <c r="F123" s="37" t="inlineStr">
        <is>
          <t>Article post</t>
        </is>
      </c>
      <c r="G123" s="37" t="inlineStr">
        <is>
          <t>In process industries, LIMS runs the lab and MES runs the batch. The handover between them costs hours.</t>
        </is>
      </c>
      <c r="H123" s="33" t="inlineStr">
        <is>
          <t>• Sampling, results and release need to flow both ways
• ERP holds batch status
• Integration options that work
• What to watch out for</t>
        </is>
      </c>
      <c r="I123" s="33" t="inlineStr">
        <is>
          <t>Text post, 150–250 words. Article link in the FIRST COMMENT.</t>
        </is>
      </c>
      <c r="J123" s="33" t="inlineStr">
        <is>
          <t>Thread, 5–7 posts. Link in the last post.</t>
        </is>
      </c>
      <c r="K123" s="33" t="inlineStr">
        <is>
          <t>Carousel, 7–9 slides. 'Link in bio' on the last slide.</t>
        </is>
      </c>
      <c r="L123" s="38" t="inlineStr">
        <is>
          <t>https://www.mesmatters.com/post/lims-and-mes</t>
        </is>
      </c>
      <c r="M123" s="33" t="n">
        <v>2</v>
      </c>
      <c r="N123" s="36" t="inlineStr">
        <is>
          <t>Planned</t>
        </is>
      </c>
      <c r="O123" s="36" t="n"/>
    </row>
    <row r="124" ht="23.25" customHeight="1" s="27">
      <c r="A124" s="33" t="n">
        <v>31</v>
      </c>
      <c r="B124" s="34">
        <f>'Weekly overview'!$B$32+(2)</f>
        <v/>
      </c>
      <c r="C124" s="33" t="inlineStr">
        <is>
          <t>Thu</t>
        </is>
      </c>
      <c r="D124" s="33" t="inlineStr">
        <is>
          <t>LIMS and MES: getting lab results to the line before the batch moves on</t>
        </is>
      </c>
      <c r="E124" s="33" t="inlineStr">
        <is>
          <t>Foundations</t>
        </is>
      </c>
      <c r="F124" s="33" t="inlineStr">
        <is>
          <t>Question / poll</t>
        </is>
      </c>
      <c r="G124" s="35" t="inlineStr">
        <is>
          <t>How do lab results reach your production team?</t>
        </is>
      </c>
      <c r="H124" s="33" t="inlineStr">
        <is>
          <t>• Poll: automatically / email / phone call / they walk over
• Comment: how long does it take?</t>
        </is>
      </c>
      <c r="I124" s="33" t="inlineStr">
        <is>
          <t>LinkedIn poll (1 week). Reply to comments.</t>
        </is>
      </c>
      <c r="J124" s="33" t="inlineStr">
        <is>
          <t>Poll.</t>
        </is>
      </c>
      <c r="K124" s="33" t="inlineStr">
        <is>
          <t>Story poll, plus a quote graphic in the feed.</t>
        </is>
      </c>
      <c r="L124" s="33" t="inlineStr">
        <is>
          <t>No link (keeps reach up)</t>
        </is>
      </c>
      <c r="M124" s="33" t="n">
        <v>3</v>
      </c>
      <c r="N124" s="36" t="inlineStr">
        <is>
          <t>Planned</t>
        </is>
      </c>
      <c r="O124" s="36" t="n"/>
    </row>
    <row r="125" ht="23.25" customHeight="1" s="27">
      <c r="A125" s="33" t="n">
        <v>31</v>
      </c>
      <c r="B125" s="34">
        <f>'Weekly overview'!$B$32+(3)</f>
        <v/>
      </c>
      <c r="C125" s="33" t="inlineStr">
        <is>
          <t>Fri</t>
        </is>
      </c>
      <c r="D125" s="33" t="inlineStr">
        <is>
          <t>LIMS and MES: getting lab results to the line before the batch moves on</t>
        </is>
      </c>
      <c r="E125" s="33" t="inlineStr">
        <is>
          <t>Foundations</t>
        </is>
      </c>
      <c r="F125" s="33" t="inlineStr">
        <is>
          <t>Contrarian take</t>
        </is>
      </c>
      <c r="G125" s="35" t="inlineStr">
        <is>
          <t>If a batch waits for a lab result that's already been approved, your integration is costing you capacity.</t>
        </is>
      </c>
      <c r="H125" s="33" t="inlineStr">
        <is>
          <t>• Release delays are hidden downtime
• Connect the systems, not the people with clipboards</t>
        </is>
      </c>
      <c r="I125" s="33" t="inlineStr">
        <is>
          <t>Short text post, 50–120 words. No link.</t>
        </is>
      </c>
      <c r="J125" s="33" t="inlineStr">
        <is>
          <t>Single post.</t>
        </is>
      </c>
      <c r="K125" s="33" t="inlineStr">
        <is>
          <t>Carousel: the take on slide 1, the reasoning over 3–4 slides.</t>
        </is>
      </c>
      <c r="L125" s="33" t="inlineStr">
        <is>
          <t>No link (keeps reach up)</t>
        </is>
      </c>
      <c r="M125" s="33" t="n">
        <v>4</v>
      </c>
      <c r="N125" s="36" t="inlineStr">
        <is>
          <t>Planned</t>
        </is>
      </c>
      <c r="O125" s="36" t="n"/>
    </row>
    <row r="126" ht="23.25" customHeight="1" s="27">
      <c r="A126" s="39" t="n">
        <v>32</v>
      </c>
      <c r="B126" s="40">
        <f>'Weekly overview'!$B$33+(-1)</f>
        <v/>
      </c>
      <c r="C126" s="39" t="inlineStr">
        <is>
          <t>Mon</t>
        </is>
      </c>
      <c r="D126" s="39" t="inlineStr">
        <is>
          <t>Agentic AI and MCP, explained for people who run factories</t>
        </is>
      </c>
      <c r="E126" s="39" t="inlineStr">
        <is>
          <t>Smart Factory &amp; AI</t>
        </is>
      </c>
      <c r="F126" s="39" t="inlineStr">
        <is>
          <t>Analogy</t>
        </is>
      </c>
      <c r="G126" s="41" t="inlineStr">
        <is>
          <t>MCP is like a universal adapter between AI agents and your systems.</t>
        </is>
      </c>
      <c r="H126" s="39" t="inlineStr">
        <is>
          <t>• The adapter doesn't make the power cleaner
• If what's behind it is messy, the agent will be too</t>
        </is>
      </c>
      <c r="I126" s="39" t="inlineStr">
        <is>
          <t>Short text post, 50–120 words. No link.</t>
        </is>
      </c>
      <c r="J126" s="39" t="inlineStr">
        <is>
          <t>Single post.</t>
        </is>
      </c>
      <c r="K126" s="39" t="inlineStr">
        <is>
          <t>Quote graphic.</t>
        </is>
      </c>
      <c r="L126" s="39" t="inlineStr">
        <is>
          <t>No link (keeps reach up)</t>
        </is>
      </c>
      <c r="M126" s="39" t="n">
        <v>1</v>
      </c>
      <c r="N126" s="42" t="inlineStr">
        <is>
          <t>Planned</t>
        </is>
      </c>
      <c r="O126" s="42" t="n"/>
    </row>
    <row r="127" ht="45.75" customHeight="1" s="27">
      <c r="A127" s="39" t="n">
        <v>32</v>
      </c>
      <c r="B127" s="40">
        <f>'Weekly overview'!$B$33+(0)</f>
        <v/>
      </c>
      <c r="C127" s="39" t="inlineStr">
        <is>
          <t>Tue</t>
        </is>
      </c>
      <c r="D127" s="39" t="inlineStr">
        <is>
          <t>Agentic AI and MCP, explained for people who run factories</t>
        </is>
      </c>
      <c r="E127" s="39" t="inlineStr">
        <is>
          <t>Smart Factory &amp; AI</t>
        </is>
      </c>
      <c r="F127" s="43" t="inlineStr">
        <is>
          <t>Article post</t>
        </is>
      </c>
      <c r="G127" s="43" t="inlineStr">
        <is>
          <t>Agentic AI and MCP, explained for people who run factories.</t>
        </is>
      </c>
      <c r="H127" s="39" t="inlineStr">
        <is>
          <t>• What agentic AI actually is
• What MCP is, and why vendors are talking about it
• What agents could do on the shopfloor
• Agents are only as good as the systems they connect to</t>
        </is>
      </c>
      <c r="I127" s="39" t="inlineStr">
        <is>
          <t>Text post, 150–250 words. Article link in the FIRST COMMENT.</t>
        </is>
      </c>
      <c r="J127" s="39" t="inlineStr">
        <is>
          <t>Thread, 5–7 posts. Link in the last post.</t>
        </is>
      </c>
      <c r="K127" s="39" t="inlineStr">
        <is>
          <t>Carousel, 7–9 slides. 'Link in bio' on the last slide.</t>
        </is>
      </c>
      <c r="L127" s="44" t="inlineStr">
        <is>
          <t>https://www.mesmatters.com/post/agentic-ai-mcp-manufacturing</t>
        </is>
      </c>
      <c r="M127" s="39" t="n">
        <v>2</v>
      </c>
      <c r="N127" s="42" t="inlineStr">
        <is>
          <t>Planned</t>
        </is>
      </c>
      <c r="O127" s="42" t="n"/>
    </row>
    <row r="128" ht="23.25" customHeight="1" s="27">
      <c r="A128" s="39" t="n">
        <v>32</v>
      </c>
      <c r="B128" s="40">
        <f>'Weekly overview'!$B$33+(2)</f>
        <v/>
      </c>
      <c r="C128" s="39" t="inlineStr">
        <is>
          <t>Thu</t>
        </is>
      </c>
      <c r="D128" s="39" t="inlineStr">
        <is>
          <t>Agentic AI and MCP, explained for people who run factories</t>
        </is>
      </c>
      <c r="E128" s="39" t="inlineStr">
        <is>
          <t>Smart Factory &amp; AI</t>
        </is>
      </c>
      <c r="F128" s="39" t="inlineStr">
        <is>
          <t>Question / poll</t>
        </is>
      </c>
      <c r="G128" s="41" t="inlineStr">
        <is>
          <t>Would you let an AI agent take an action on your shopfloor today?</t>
        </is>
      </c>
      <c r="H128" s="39" t="inlineStr">
        <is>
          <t>• Poll: yes / with human approval / read-only for now / no way
• Comment: where's your line?</t>
        </is>
      </c>
      <c r="I128" s="39" t="inlineStr">
        <is>
          <t>LinkedIn poll (1 week). Reply to comments.</t>
        </is>
      </c>
      <c r="J128" s="39" t="inlineStr">
        <is>
          <t>Poll.</t>
        </is>
      </c>
      <c r="K128" s="39" t="inlineStr">
        <is>
          <t>Story poll, plus a quote graphic in the feed.</t>
        </is>
      </c>
      <c r="L128" s="39" t="inlineStr">
        <is>
          <t>No link (keeps reach up)</t>
        </is>
      </c>
      <c r="M128" s="39" t="n">
        <v>3</v>
      </c>
      <c r="N128" s="42" t="inlineStr">
        <is>
          <t>Planned</t>
        </is>
      </c>
      <c r="O128" s="42" t="n"/>
    </row>
    <row r="129" ht="23.25" customHeight="1" s="27">
      <c r="A129" s="39" t="n">
        <v>32</v>
      </c>
      <c r="B129" s="40">
        <f>'Weekly overview'!$B$33+(3)</f>
        <v/>
      </c>
      <c r="C129" s="39" t="inlineStr">
        <is>
          <t>Fri</t>
        </is>
      </c>
      <c r="D129" s="39" t="inlineStr">
        <is>
          <t>Agentic AI and MCP, explained for people who run factories</t>
        </is>
      </c>
      <c r="E129" s="39" t="inlineStr">
        <is>
          <t>Smart Factory &amp; AI</t>
        </is>
      </c>
      <c r="F129" s="39" t="inlineStr">
        <is>
          <t>Contrarian take</t>
        </is>
      </c>
      <c r="G129" s="41" t="inlineStr">
        <is>
          <t>Before any agent touches production, ask one question: what's the system of record it's acting on?</t>
        </is>
      </c>
      <c r="H129" s="39" t="inlineStr">
        <is>
          <t>• Agents need permissions, guardrails and clean data
• Start read-only, then earn trust</t>
        </is>
      </c>
      <c r="I129" s="39" t="inlineStr">
        <is>
          <t>Short text post, 50–120 words. No link.</t>
        </is>
      </c>
      <c r="J129" s="39" t="inlineStr">
        <is>
          <t>Single post.</t>
        </is>
      </c>
      <c r="K129" s="39" t="inlineStr">
        <is>
          <t>Carousel: the take on slide 1, the reasoning over 3–4 slides.</t>
        </is>
      </c>
      <c r="L129" s="39" t="inlineStr">
        <is>
          <t>No link (keeps reach up)</t>
        </is>
      </c>
      <c r="M129" s="39" t="n">
        <v>4</v>
      </c>
      <c r="N129" s="42" t="inlineStr">
        <is>
          <t>Planned</t>
        </is>
      </c>
      <c r="O129" s="42" t="n"/>
    </row>
    <row r="130" ht="23.25" customHeight="1" s="27">
      <c r="A130" s="33" t="n">
        <v>33</v>
      </c>
      <c r="B130" s="34">
        <f>'Weekly overview'!$B$34+(-1)</f>
        <v/>
      </c>
      <c r="C130" s="33" t="inlineStr">
        <is>
          <t>Mon</t>
        </is>
      </c>
      <c r="D130" s="33" t="inlineStr">
        <is>
          <t>Manufacturing KPIs beyond OEE</t>
        </is>
      </c>
      <c r="E130" s="33" t="inlineStr">
        <is>
          <t>Foundations</t>
        </is>
      </c>
      <c r="F130" s="33" t="inlineStr">
        <is>
          <t>Stat or framework</t>
        </is>
      </c>
      <c r="G130" s="35" t="inlineStr">
        <is>
          <t>A line can have a decent OEE quality rate and still be quietly reworking 10% of what it makes.</t>
        </is>
      </c>
      <c r="H130" s="33" t="inlineStr">
        <is>
          <t>• That's why first-pass yield matters alongside OEE
• Graphic: OEE vs FPY on the same line</t>
        </is>
      </c>
      <c r="I130" s="33" t="inlineStr">
        <is>
          <t>Image or document carousel. No link.</t>
        </is>
      </c>
      <c r="J130" s="33" t="inlineStr">
        <is>
          <t>Single post with the image.</t>
        </is>
      </c>
      <c r="K130" s="33" t="inlineStr">
        <is>
          <t>Carousel, 5–7 slides.</t>
        </is>
      </c>
      <c r="L130" s="33" t="inlineStr">
        <is>
          <t>No link (keeps reach up)</t>
        </is>
      </c>
      <c r="M130" s="33" t="n">
        <v>1</v>
      </c>
      <c r="N130" s="36" t="inlineStr">
        <is>
          <t>Planned</t>
        </is>
      </c>
      <c r="O130" s="36" t="n"/>
    </row>
    <row r="131" ht="45.75" customHeight="1" s="27">
      <c r="A131" s="33" t="n">
        <v>33</v>
      </c>
      <c r="B131" s="34">
        <f>'Weekly overview'!$B$34+(0)</f>
        <v/>
      </c>
      <c r="C131" s="33" t="inlineStr">
        <is>
          <t>Tue</t>
        </is>
      </c>
      <c r="D131" s="33" t="inlineStr">
        <is>
          <t>Manufacturing KPIs beyond OEE</t>
        </is>
      </c>
      <c r="E131" s="33" t="inlineStr">
        <is>
          <t>Foundations</t>
        </is>
      </c>
      <c r="F131" s="37" t="inlineStr">
        <is>
          <t>Article post</t>
        </is>
      </c>
      <c r="G131" s="37" t="inlineStr">
        <is>
          <t>OEE isn't the only manufacturing KPI that matters.</t>
        </is>
      </c>
      <c r="H131" s="33" t="inlineStr">
        <is>
          <t>• First-pass yield and scrap rate
• Cycle time and changeover time
• OTIF, MTBF and MTTR
• Don't measure everything. Measure what drives decisions</t>
        </is>
      </c>
      <c r="I131" s="33" t="inlineStr">
        <is>
          <t>Text post, 150–250 words. Article link in the FIRST COMMENT.</t>
        </is>
      </c>
      <c r="J131" s="33" t="inlineStr">
        <is>
          <t>Thread, 5–7 posts. Link in the last post.</t>
        </is>
      </c>
      <c r="K131" s="33" t="inlineStr">
        <is>
          <t>Carousel, 7–9 slides. 'Link in bio' on the last slide.</t>
        </is>
      </c>
      <c r="L131" s="38" t="inlineStr">
        <is>
          <t>https://www.mesmatters.com/post/manufacturing-kpis-beyond-oee</t>
        </is>
      </c>
      <c r="M131" s="33" t="n">
        <v>2</v>
      </c>
      <c r="N131" s="36" t="inlineStr">
        <is>
          <t>Planned</t>
        </is>
      </c>
      <c r="O131" s="36" t="n"/>
    </row>
    <row r="132" ht="23.25" customHeight="1" s="27">
      <c r="A132" s="33" t="n">
        <v>33</v>
      </c>
      <c r="B132" s="34">
        <f>'Weekly overview'!$B$34+(2)</f>
        <v/>
      </c>
      <c r="C132" s="33" t="inlineStr">
        <is>
          <t>Thu</t>
        </is>
      </c>
      <c r="D132" s="33" t="inlineStr">
        <is>
          <t>Manufacturing KPIs beyond OEE</t>
        </is>
      </c>
      <c r="E132" s="33" t="inlineStr">
        <is>
          <t>Foundations</t>
        </is>
      </c>
      <c r="F132" s="33" t="inlineStr">
        <is>
          <t>Question / poll</t>
        </is>
      </c>
      <c r="G132" s="35" t="inlineStr">
        <is>
          <t>Which KPI does your leadership look at first?</t>
        </is>
      </c>
      <c r="H132" s="33" t="inlineStr">
        <is>
          <t>• Poll: OEE / OTIF / scrap / cost per unit
• Comment: is it the right one?</t>
        </is>
      </c>
      <c r="I132" s="33" t="inlineStr">
        <is>
          <t>LinkedIn poll (1 week). Reply to comments.</t>
        </is>
      </c>
      <c r="J132" s="33" t="inlineStr">
        <is>
          <t>Poll.</t>
        </is>
      </c>
      <c r="K132" s="33" t="inlineStr">
        <is>
          <t>Story poll, plus a quote graphic in the feed.</t>
        </is>
      </c>
      <c r="L132" s="33" t="inlineStr">
        <is>
          <t>No link (keeps reach up)</t>
        </is>
      </c>
      <c r="M132" s="33" t="n">
        <v>3</v>
      </c>
      <c r="N132" s="36" t="inlineStr">
        <is>
          <t>Planned</t>
        </is>
      </c>
      <c r="O132" s="36" t="n"/>
    </row>
    <row r="133" ht="23.25" customHeight="1" s="27">
      <c r="A133" s="33" t="n">
        <v>33</v>
      </c>
      <c r="B133" s="34">
        <f>'Weekly overview'!$B$34+(3)</f>
        <v/>
      </c>
      <c r="C133" s="33" t="inlineStr">
        <is>
          <t>Fri</t>
        </is>
      </c>
      <c r="D133" s="33" t="inlineStr">
        <is>
          <t>Manufacturing KPIs beyond OEE</t>
        </is>
      </c>
      <c r="E133" s="33" t="inlineStr">
        <is>
          <t>Foundations</t>
        </is>
      </c>
      <c r="F133" s="33" t="inlineStr">
        <is>
          <t>Checklist</t>
        </is>
      </c>
      <c r="G133" s="35" t="inlineStr">
        <is>
          <t>Seven manufacturing KPIs worth knowing, explained in one line each.</t>
        </is>
      </c>
      <c r="H133" s="33" t="inlineStr">
        <is>
          <t>• FPY, scrap, cycle time, changeover
• OTIF, MTBF, MTTR. Carousel: one per slide</t>
        </is>
      </c>
      <c r="I133" s="33" t="inlineStr">
        <is>
          <t>Document carousel (PDF), one item per page.</t>
        </is>
      </c>
      <c r="J133" s="33" t="inlineStr">
        <is>
          <t>Thread, one item per post.</t>
        </is>
      </c>
      <c r="K133" s="33" t="inlineStr">
        <is>
          <t>Carousel, one item per slide.</t>
        </is>
      </c>
      <c r="L133" s="33" t="inlineStr">
        <is>
          <t>No link (keeps reach up)</t>
        </is>
      </c>
      <c r="M133" s="33" t="n">
        <v>4</v>
      </c>
      <c r="N133" s="36" t="inlineStr">
        <is>
          <t>Planned</t>
        </is>
      </c>
      <c r="O133" s="36" t="n"/>
    </row>
    <row r="134" ht="34.5" customHeight="1" s="27">
      <c r="A134" s="39" t="n">
        <v>34</v>
      </c>
      <c r="B134" s="40">
        <f>'Weekly overview'!$B$35+(-1)</f>
        <v/>
      </c>
      <c r="C134" s="39" t="inlineStr">
        <is>
          <t>Mon</t>
        </is>
      </c>
      <c r="D134" s="39" t="inlineStr">
        <is>
          <t>Connecting MES/MOM to everything else: integration patterns that last</t>
        </is>
      </c>
      <c r="E134" s="39" t="inlineStr">
        <is>
          <t>Implementation</t>
        </is>
      </c>
      <c r="F134" s="39" t="inlineStr">
        <is>
          <t>Stat or framework</t>
        </is>
      </c>
      <c r="G134" s="41" t="inlineStr">
        <is>
          <t>Four integration patterns compared on one page.</t>
        </is>
      </c>
      <c r="H134" s="39" t="inlineStr">
        <is>
          <t>• Graphic: point-to-point, middleware, event-driven, UNS: pros, cons, when to use
• Carousel</t>
        </is>
      </c>
      <c r="I134" s="39" t="inlineStr">
        <is>
          <t>Image or document carousel. No link.</t>
        </is>
      </c>
      <c r="J134" s="39" t="inlineStr">
        <is>
          <t>Single post with the image.</t>
        </is>
      </c>
      <c r="K134" s="39" t="inlineStr">
        <is>
          <t>Carousel, 5–7 slides.</t>
        </is>
      </c>
      <c r="L134" s="39" t="inlineStr">
        <is>
          <t>No link (keeps reach up)</t>
        </is>
      </c>
      <c r="M134" s="39" t="n">
        <v>1</v>
      </c>
      <c r="N134" s="42" t="inlineStr">
        <is>
          <t>Planned</t>
        </is>
      </c>
      <c r="O134" s="42" t="n"/>
    </row>
    <row r="135" ht="45.75" customHeight="1" s="27">
      <c r="A135" s="39" t="n">
        <v>34</v>
      </c>
      <c r="B135" s="40">
        <f>'Weekly overview'!$B$35+(0)</f>
        <v/>
      </c>
      <c r="C135" s="39" t="inlineStr">
        <is>
          <t>Tue</t>
        </is>
      </c>
      <c r="D135" s="39" t="inlineStr">
        <is>
          <t>Connecting MES/MOM to everything else: integration patterns that last</t>
        </is>
      </c>
      <c r="E135" s="39" t="inlineStr">
        <is>
          <t>Implementation</t>
        </is>
      </c>
      <c r="F135" s="43" t="inlineStr">
        <is>
          <t>Article post</t>
        </is>
      </c>
      <c r="G135" s="43" t="inlineStr">
        <is>
          <t>Point-to-point, middleware, event-driven or UNS. Which integration pattern will survive your next upgrade?</t>
        </is>
      </c>
      <c r="H135" s="39" t="inlineStr">
        <is>
          <t>• Start with ISA-95, not with technology
• ERP is usually the hub. Usually
• Transactions and telemetry need different patterns
• Design for the upgrade, not just go-live</t>
        </is>
      </c>
      <c r="I135" s="39" t="inlineStr">
        <is>
          <t>Text post, 150–250 words. Article link in the FIRST COMMENT.</t>
        </is>
      </c>
      <c r="J135" s="39" t="inlineStr">
        <is>
          <t>Thread, 5–7 posts. Link in the last post.</t>
        </is>
      </c>
      <c r="K135" s="39" t="inlineStr">
        <is>
          <t>Carousel, 7–9 slides. 'Link in bio' on the last slide.</t>
        </is>
      </c>
      <c r="L135" s="44" t="inlineStr">
        <is>
          <t>https://www.mesmatters.com/post/isa95-integration-patterns</t>
        </is>
      </c>
      <c r="M135" s="39" t="n">
        <v>2</v>
      </c>
      <c r="N135" s="42" t="inlineStr">
        <is>
          <t>Planned</t>
        </is>
      </c>
      <c r="O135" s="42" t="n"/>
    </row>
    <row r="136" ht="34.5" customHeight="1" s="27">
      <c r="A136" s="39" t="n">
        <v>34</v>
      </c>
      <c r="B136" s="40">
        <f>'Weekly overview'!$B$35+(2)</f>
        <v/>
      </c>
      <c r="C136" s="39" t="inlineStr">
        <is>
          <t>Thu</t>
        </is>
      </c>
      <c r="D136" s="39" t="inlineStr">
        <is>
          <t>Connecting MES/MOM to everything else: integration patterns that last</t>
        </is>
      </c>
      <c r="E136" s="39" t="inlineStr">
        <is>
          <t>Implementation</t>
        </is>
      </c>
      <c r="F136" s="39" t="inlineStr">
        <is>
          <t>Question / poll</t>
        </is>
      </c>
      <c r="G136" s="41" t="inlineStr">
        <is>
          <t>How is your MES connected to ERP today?</t>
        </is>
      </c>
      <c r="H136" s="39" t="inlineStr">
        <is>
          <t>• Poll: point-to-point / middleware / event-driven / spreadsheets and email
• Comment: what breaks most?</t>
        </is>
      </c>
      <c r="I136" s="39" t="inlineStr">
        <is>
          <t>LinkedIn poll (1 week). Reply to comments.</t>
        </is>
      </c>
      <c r="J136" s="39" t="inlineStr">
        <is>
          <t>Poll.</t>
        </is>
      </c>
      <c r="K136" s="39" t="inlineStr">
        <is>
          <t>Story poll, plus a quote graphic in the feed.</t>
        </is>
      </c>
      <c r="L136" s="39" t="inlineStr">
        <is>
          <t>No link (keeps reach up)</t>
        </is>
      </c>
      <c r="M136" s="39" t="n">
        <v>3</v>
      </c>
      <c r="N136" s="42" t="inlineStr">
        <is>
          <t>Planned</t>
        </is>
      </c>
      <c r="O136" s="42" t="n"/>
    </row>
    <row r="137" ht="23.25" customHeight="1" s="27">
      <c r="A137" s="39" t="n">
        <v>34</v>
      </c>
      <c r="B137" s="40">
        <f>'Weekly overview'!$B$35+(3)</f>
        <v/>
      </c>
      <c r="C137" s="39" t="inlineStr">
        <is>
          <t>Fri</t>
        </is>
      </c>
      <c r="D137" s="39" t="inlineStr">
        <is>
          <t>Connecting MES/MOM to everything else: integration patterns that last</t>
        </is>
      </c>
      <c r="E137" s="39" t="inlineStr">
        <is>
          <t>Implementation</t>
        </is>
      </c>
      <c r="F137" s="39" t="inlineStr">
        <is>
          <t>Contrarian take</t>
        </is>
      </c>
      <c r="G137" s="41" t="inlineStr">
        <is>
          <t>A UNS doesn't replace integration design. It moves it.</t>
        </is>
      </c>
      <c r="H137" s="39" t="inlineStr">
        <is>
          <t>• Someone still decides the data model
• Telemetry and transactions still behave differently</t>
        </is>
      </c>
      <c r="I137" s="39" t="inlineStr">
        <is>
          <t>Short text post, 50–120 words. No link.</t>
        </is>
      </c>
      <c r="J137" s="39" t="inlineStr">
        <is>
          <t>Single post.</t>
        </is>
      </c>
      <c r="K137" s="39" t="inlineStr">
        <is>
          <t>Carousel: the take on slide 1, the reasoning over 3–4 slides.</t>
        </is>
      </c>
      <c r="L137" s="39" t="inlineStr">
        <is>
          <t>No link (keeps reach up)</t>
        </is>
      </c>
      <c r="M137" s="39" t="n">
        <v>4</v>
      </c>
      <c r="N137" s="42" t="inlineStr">
        <is>
          <t>Planned</t>
        </is>
      </c>
      <c r="O137" s="42" t="n"/>
    </row>
    <row r="138" ht="23.25" customHeight="1" s="27">
      <c r="A138" s="33" t="n">
        <v>35</v>
      </c>
      <c r="B138" s="34">
        <f>'Weekly overview'!$B$36+(-1)</f>
        <v/>
      </c>
      <c r="C138" s="33" t="inlineStr">
        <is>
          <t>Mon</t>
        </is>
      </c>
      <c r="D138" s="33" t="inlineStr">
        <is>
          <t>Six technology mistakes that sink smart factory projects</t>
        </is>
      </c>
      <c r="E138" s="33" t="inlineStr">
        <is>
          <t>Implementation</t>
        </is>
      </c>
      <c r="F138" s="33" t="inlineStr">
        <is>
          <t>Contrarian take</t>
        </is>
      </c>
      <c r="G138" s="35" t="inlineStr">
        <is>
          <t>Connecting ERP directly to machines is like routing your heartbeat through your accountant.</t>
        </is>
      </c>
      <c r="H138" s="33" t="inlineStr">
        <is>
          <t>• ERP isn't built for second-by-second events
• Put an operations layer in between</t>
        </is>
      </c>
      <c r="I138" s="33" t="inlineStr">
        <is>
          <t>Short text post, 50–120 words. No link.</t>
        </is>
      </c>
      <c r="J138" s="33" t="inlineStr">
        <is>
          <t>Single post.</t>
        </is>
      </c>
      <c r="K138" s="33" t="inlineStr">
        <is>
          <t>Carousel: the take on slide 1, the reasoning over 3–4 slides.</t>
        </is>
      </c>
      <c r="L138" s="33" t="inlineStr">
        <is>
          <t>No link (keeps reach up)</t>
        </is>
      </c>
      <c r="M138" s="33" t="n">
        <v>1</v>
      </c>
      <c r="N138" s="36" t="inlineStr">
        <is>
          <t>Planned</t>
        </is>
      </c>
      <c r="O138" s="36" t="n"/>
    </row>
    <row r="139" ht="45.75" customHeight="1" s="27">
      <c r="A139" s="33" t="n">
        <v>35</v>
      </c>
      <c r="B139" s="34">
        <f>'Weekly overview'!$B$36+(0)</f>
        <v/>
      </c>
      <c r="C139" s="33" t="inlineStr">
        <is>
          <t>Tue</t>
        </is>
      </c>
      <c r="D139" s="33" t="inlineStr">
        <is>
          <t>Six technology mistakes that sink smart factory projects</t>
        </is>
      </c>
      <c r="E139" s="33" t="inlineStr">
        <is>
          <t>Implementation</t>
        </is>
      </c>
      <c r="F139" s="37" t="inlineStr">
        <is>
          <t>Article post</t>
        </is>
      </c>
      <c r="G139" s="37" t="inlineStr">
        <is>
          <t>Six technology mistakes I see sink smart factory projects again and again.</t>
        </is>
      </c>
      <c r="H139" s="33" t="inlineStr">
        <is>
          <t>• Wiring ERP directly to machines
• Building a homegrown platform
• Point solutions that can't scale, and over-customising
• Connected worker overlap, and IIoT sold as MES</t>
        </is>
      </c>
      <c r="I139" s="33" t="inlineStr">
        <is>
          <t>Text post, 150–250 words. Article link in the FIRST COMMENT.</t>
        </is>
      </c>
      <c r="J139" s="33" t="inlineStr">
        <is>
          <t>Thread, 5–7 posts. Link in the last post.</t>
        </is>
      </c>
      <c r="K139" s="33" t="inlineStr">
        <is>
          <t>Carousel, 7–9 slides. 'Link in bio' on the last slide.</t>
        </is>
      </c>
      <c r="L139" s="38" t="inlineStr">
        <is>
          <t>https://www.mesmatters.com/post/smart-factory-technology-mistakes</t>
        </is>
      </c>
      <c r="M139" s="33" t="n">
        <v>2</v>
      </c>
      <c r="N139" s="36" t="inlineStr">
        <is>
          <t>Planned</t>
        </is>
      </c>
      <c r="O139" s="36" t="n"/>
    </row>
    <row r="140" ht="34.5" customHeight="1" s="27">
      <c r="A140" s="33" t="n">
        <v>35</v>
      </c>
      <c r="B140" s="34">
        <f>'Weekly overview'!$B$36+(2)</f>
        <v/>
      </c>
      <c r="C140" s="33" t="inlineStr">
        <is>
          <t>Thu</t>
        </is>
      </c>
      <c r="D140" s="33" t="inlineStr">
        <is>
          <t>Six technology mistakes that sink smart factory projects</t>
        </is>
      </c>
      <c r="E140" s="33" t="inlineStr">
        <is>
          <t>Implementation</t>
        </is>
      </c>
      <c r="F140" s="33" t="inlineStr">
        <is>
          <t>Question / poll</t>
        </is>
      </c>
      <c r="G140" s="35" t="inlineStr">
        <is>
          <t>Which mistake have you seen most?</t>
        </is>
      </c>
      <c r="H140" s="33" t="inlineStr">
        <is>
          <t>• Poll: ERP to machines / homegrown platform / point solutions / over-customising
• Comment with the story</t>
        </is>
      </c>
      <c r="I140" s="33" t="inlineStr">
        <is>
          <t>LinkedIn poll (1 week). Reply to comments.</t>
        </is>
      </c>
      <c r="J140" s="33" t="inlineStr">
        <is>
          <t>Poll.</t>
        </is>
      </c>
      <c r="K140" s="33" t="inlineStr">
        <is>
          <t>Story poll, plus a quote graphic in the feed.</t>
        </is>
      </c>
      <c r="L140" s="33" t="inlineStr">
        <is>
          <t>No link (keeps reach up)</t>
        </is>
      </c>
      <c r="M140" s="33" t="n">
        <v>3</v>
      </c>
      <c r="N140" s="36" t="inlineStr">
        <is>
          <t>Planned</t>
        </is>
      </c>
      <c r="O140" s="36" t="n"/>
    </row>
    <row r="141" ht="23.25" customHeight="1" s="27">
      <c r="A141" s="33" t="n">
        <v>35</v>
      </c>
      <c r="B141" s="34">
        <f>'Weekly overview'!$B$36+(3)</f>
        <v/>
      </c>
      <c r="C141" s="33" t="inlineStr">
        <is>
          <t>Fri</t>
        </is>
      </c>
      <c r="D141" s="33" t="inlineStr">
        <is>
          <t>Six technology mistakes that sink smart factory projects</t>
        </is>
      </c>
      <c r="E141" s="33" t="inlineStr">
        <is>
          <t>Implementation</t>
        </is>
      </c>
      <c r="F141" s="33" t="inlineStr">
        <is>
          <t>Checklist</t>
        </is>
      </c>
      <c r="G141" s="35" t="inlineStr">
        <is>
          <t>The common thread behind all six mistakes.</t>
        </is>
      </c>
      <c r="H141" s="33" t="inlineStr">
        <is>
          <t>• Each one solves today's problem by creating tomorrow's
• Carousel: six mistakes, one slide each, plus the fix</t>
        </is>
      </c>
      <c r="I141" s="33" t="inlineStr">
        <is>
          <t>Document carousel (PDF), one item per page.</t>
        </is>
      </c>
      <c r="J141" s="33" t="inlineStr">
        <is>
          <t>Thread, one item per post.</t>
        </is>
      </c>
      <c r="K141" s="33" t="inlineStr">
        <is>
          <t>Carousel, one item per slide.</t>
        </is>
      </c>
      <c r="L141" s="33" t="inlineStr">
        <is>
          <t>No link (keeps reach up)</t>
        </is>
      </c>
      <c r="M141" s="33" t="n">
        <v>4</v>
      </c>
      <c r="N141" s="36" t="inlineStr">
        <is>
          <t>Planned</t>
        </is>
      </c>
      <c r="O141" s="36" t="n"/>
    </row>
    <row r="142" ht="23.25" customHeight="1" s="27">
      <c r="A142" s="39" t="n">
        <v>36</v>
      </c>
      <c r="B142" s="40">
        <f>'Weekly overview'!$B$37+(-1)</f>
        <v/>
      </c>
      <c r="C142" s="39" t="inlineStr">
        <is>
          <t>Mon</t>
        </is>
      </c>
      <c r="D142" s="39" t="inlineStr">
        <is>
          <t>Digital twins run on shopfloor data. MES/MOM is where it comes from</t>
        </is>
      </c>
      <c r="E142" s="39" t="inlineStr">
        <is>
          <t>Smart Factory &amp; AI</t>
        </is>
      </c>
      <c r="F142" s="39" t="inlineStr">
        <is>
          <t>Contrarian take</t>
        </is>
      </c>
      <c r="G142" s="41" t="inlineStr">
        <is>
          <t>If you can't trust today's production data, a simulation of tomorrow won't help.</t>
        </is>
      </c>
      <c r="H142" s="39" t="inlineStr">
        <is>
          <t>• Simulation is only as good as the data behind it
• Get real-time, contextualised data flowing first</t>
        </is>
      </c>
      <c r="I142" s="39" t="inlineStr">
        <is>
          <t>Short text post, 50–120 words. No link.</t>
        </is>
      </c>
      <c r="J142" s="39" t="inlineStr">
        <is>
          <t>Single post.</t>
        </is>
      </c>
      <c r="K142" s="39" t="inlineStr">
        <is>
          <t>Carousel: the take on slide 1, the reasoning over 3–4 slides.</t>
        </is>
      </c>
      <c r="L142" s="39" t="inlineStr">
        <is>
          <t>No link (keeps reach up)</t>
        </is>
      </c>
      <c r="M142" s="39" t="n">
        <v>1</v>
      </c>
      <c r="N142" s="42" t="inlineStr">
        <is>
          <t>Planned</t>
        </is>
      </c>
      <c r="O142" s="42" t="n"/>
    </row>
    <row r="143" ht="57" customHeight="1" s="27">
      <c r="A143" s="39" t="n">
        <v>36</v>
      </c>
      <c r="B143" s="40">
        <f>'Weekly overview'!$B$37+(0)</f>
        <v/>
      </c>
      <c r="C143" s="39" t="inlineStr">
        <is>
          <t>Tue</t>
        </is>
      </c>
      <c r="D143" s="39" t="inlineStr">
        <is>
          <t>Digital twins run on shopfloor data. MES/MOM is where it comes from</t>
        </is>
      </c>
      <c r="E143" s="39" t="inlineStr">
        <is>
          <t>Smart Factory &amp; AI</t>
        </is>
      </c>
      <c r="F143" s="43" t="inlineStr">
        <is>
          <t>Article post</t>
        </is>
      </c>
      <c r="G143" s="43" t="inlineStr">
        <is>
          <t>A digital twin is only as good as the data feeding it.</t>
        </is>
      </c>
      <c r="H143" s="39" t="inlineStr">
        <is>
          <t>• What a digital twin is: a model, a live connection, a purpose
• MES/MOM: the key source of real-time, contextualised shopfloor data for the twin
• The twin adds the model and the simulation
• Get the data flowing before you build the twin</t>
        </is>
      </c>
      <c r="I143" s="39" t="inlineStr">
        <is>
          <t>Text post, 150–250 words. Article link in the FIRST COMMENT.</t>
        </is>
      </c>
      <c r="J143" s="39" t="inlineStr">
        <is>
          <t>Thread, 5–7 posts. Link in the last post.</t>
        </is>
      </c>
      <c r="K143" s="39" t="inlineStr">
        <is>
          <t>Carousel, 7–9 slides. 'Link in bio' on the last slide.</t>
        </is>
      </c>
      <c r="L143" s="44" t="inlineStr">
        <is>
          <t>https://www.shopfloormatters.com/post/mes-and-digital-twins</t>
        </is>
      </c>
      <c r="M143" s="39" t="n">
        <v>2</v>
      </c>
      <c r="N143" s="42" t="inlineStr">
        <is>
          <t>Planned</t>
        </is>
      </c>
      <c r="O143" s="42" t="n"/>
    </row>
    <row r="144" ht="34.5" customHeight="1" s="27">
      <c r="A144" s="39" t="n">
        <v>36</v>
      </c>
      <c r="B144" s="40">
        <f>'Weekly overview'!$B$37+(2)</f>
        <v/>
      </c>
      <c r="C144" s="39" t="inlineStr">
        <is>
          <t>Thu</t>
        </is>
      </c>
      <c r="D144" s="39" t="inlineStr">
        <is>
          <t>Digital twins run on shopfloor data. MES/MOM is where it comes from</t>
        </is>
      </c>
      <c r="E144" s="39" t="inlineStr">
        <is>
          <t>Smart Factory &amp; AI</t>
        </is>
      </c>
      <c r="F144" s="39" t="inlineStr">
        <is>
          <t>Question / poll</t>
        </is>
      </c>
      <c r="G144" s="41" t="inlineStr">
        <is>
          <t>What would you use a factory simulation for first?</t>
        </is>
      </c>
      <c r="H144" s="39" t="inlineStr">
        <is>
          <t>• Poll: adding a shift / new product launch / bottleneck analysis / capex decisions
• Comment: why?</t>
        </is>
      </c>
      <c r="I144" s="39" t="inlineStr">
        <is>
          <t>LinkedIn poll (1 week). Reply to comments.</t>
        </is>
      </c>
      <c r="J144" s="39" t="inlineStr">
        <is>
          <t>Poll.</t>
        </is>
      </c>
      <c r="K144" s="39" t="inlineStr">
        <is>
          <t>Story poll, plus a quote graphic in the feed.</t>
        </is>
      </c>
      <c r="L144" s="39" t="inlineStr">
        <is>
          <t>No link (keeps reach up)</t>
        </is>
      </c>
      <c r="M144" s="39" t="n">
        <v>3</v>
      </c>
      <c r="N144" s="42" t="inlineStr">
        <is>
          <t>Planned</t>
        </is>
      </c>
      <c r="O144" s="42" t="n"/>
    </row>
    <row r="145" ht="23.25" customHeight="1" s="27">
      <c r="A145" s="39" t="n">
        <v>36</v>
      </c>
      <c r="B145" s="40">
        <f>'Weekly overview'!$B$37+(3)</f>
        <v/>
      </c>
      <c r="C145" s="39" t="inlineStr">
        <is>
          <t>Fri</t>
        </is>
      </c>
      <c r="D145" s="39" t="inlineStr">
        <is>
          <t>Digital twins run on shopfloor data. MES/MOM is where it comes from</t>
        </is>
      </c>
      <c r="E145" s="39" t="inlineStr">
        <is>
          <t>Smart Factory &amp; AI</t>
        </is>
      </c>
      <c r="F145" s="39" t="inlineStr">
        <is>
          <t>Stat or framework</t>
        </is>
      </c>
      <c r="G145" s="41" t="inlineStr">
        <is>
          <t>What a digital twin needs, layer by layer: live data, context, models, simulation.</t>
        </is>
      </c>
      <c r="H145" s="39" t="inlineStr">
        <is>
          <t>• Graphic: the data sources feeding a twin, and where MES/MOM fits
• Carousel</t>
        </is>
      </c>
      <c r="I145" s="39" t="inlineStr">
        <is>
          <t>Image or document carousel. No link.</t>
        </is>
      </c>
      <c r="J145" s="39" t="inlineStr">
        <is>
          <t>Single post with the image.</t>
        </is>
      </c>
      <c r="K145" s="39" t="inlineStr">
        <is>
          <t>Carousel, 5–7 slides.</t>
        </is>
      </c>
      <c r="L145" s="39" t="inlineStr">
        <is>
          <t>No link (keeps reach up)</t>
        </is>
      </c>
      <c r="M145" s="39" t="n">
        <v>4</v>
      </c>
      <c r="N145" s="42" t="inlineStr">
        <is>
          <t>Planned</t>
        </is>
      </c>
      <c r="O145" s="42" t="n"/>
    </row>
    <row r="146" ht="45.75" customHeight="1" s="27">
      <c r="A146" s="33" t="n">
        <v>37</v>
      </c>
      <c r="B146" s="34">
        <f>'Weekly overview'!$B$38+(-1)</f>
        <v/>
      </c>
      <c r="C146" s="33" t="inlineStr">
        <is>
          <t>Mon</t>
        </is>
      </c>
      <c r="D146" s="33" t="inlineStr">
        <is>
          <t>OT cybersecurity for MES/MOM: what operations leaders need to know</t>
        </is>
      </c>
      <c r="E146" s="33" t="inlineStr">
        <is>
          <t>Implementation</t>
        </is>
      </c>
      <c r="F146" s="33" t="inlineStr">
        <is>
          <t>Checklist</t>
        </is>
      </c>
      <c r="G146" s="35" t="inlineStr">
        <is>
          <t>Four OT security basics that matter more than any tool.</t>
        </is>
      </c>
      <c r="H146" s="33" t="inlineStr">
        <is>
          <t>• Know what's connected
• Segment networks into zones
• Control remote access
• Test your recovery. Carousel</t>
        </is>
      </c>
      <c r="I146" s="33" t="inlineStr">
        <is>
          <t>Document carousel (PDF), one item per page.</t>
        </is>
      </c>
      <c r="J146" s="33" t="inlineStr">
        <is>
          <t>Thread, one item per post.</t>
        </is>
      </c>
      <c r="K146" s="33" t="inlineStr">
        <is>
          <t>Carousel, one item per slide.</t>
        </is>
      </c>
      <c r="L146" s="33" t="inlineStr">
        <is>
          <t>No link (keeps reach up)</t>
        </is>
      </c>
      <c r="M146" s="33" t="n">
        <v>1</v>
      </c>
      <c r="N146" s="36" t="inlineStr">
        <is>
          <t>Planned</t>
        </is>
      </c>
      <c r="O146" s="36" t="n"/>
    </row>
    <row r="147" ht="45.75" customHeight="1" s="27">
      <c r="A147" s="33" t="n">
        <v>37</v>
      </c>
      <c r="B147" s="34">
        <f>'Weekly overview'!$B$38+(0)</f>
        <v/>
      </c>
      <c r="C147" s="33" t="inlineStr">
        <is>
          <t>Tue</t>
        </is>
      </c>
      <c r="D147" s="33" t="inlineStr">
        <is>
          <t>OT cybersecurity for MES/MOM: what operations leaders need to know</t>
        </is>
      </c>
      <c r="E147" s="33" t="inlineStr">
        <is>
          <t>Implementation</t>
        </is>
      </c>
      <c r="F147" s="37" t="inlineStr">
        <is>
          <t>Article post</t>
        </is>
      </c>
      <c r="G147" s="37" t="inlineStr">
        <is>
          <t>MES sits between IT and OT. That makes it a security boundary.</t>
        </is>
      </c>
      <c r="H147" s="33" t="inlineStr">
        <is>
          <t>• IT and OT security are different problems
• Zones and conduits, explained simply
• Where MES/MOM projects accidentally create risk
• Plan for the bad day before it comes</t>
        </is>
      </c>
      <c r="I147" s="33" t="inlineStr">
        <is>
          <t>Text post, 150–250 words. Article link in the FIRST COMMENT.</t>
        </is>
      </c>
      <c r="J147" s="33" t="inlineStr">
        <is>
          <t>Thread, 5–7 posts. Link in the last post.</t>
        </is>
      </c>
      <c r="K147" s="33" t="inlineStr">
        <is>
          <t>Carousel, 7–9 slides. 'Link in bio' on the last slide.</t>
        </is>
      </c>
      <c r="L147" s="38" t="inlineStr">
        <is>
          <t>https://www.mesmatters.com/post/ot-cybersecurity-for-mes</t>
        </is>
      </c>
      <c r="M147" s="33" t="n">
        <v>2</v>
      </c>
      <c r="N147" s="36" t="inlineStr">
        <is>
          <t>Planned</t>
        </is>
      </c>
      <c r="O147" s="36" t="n"/>
    </row>
    <row r="148" ht="23.25" customHeight="1" s="27">
      <c r="A148" s="33" t="n">
        <v>37</v>
      </c>
      <c r="B148" s="34">
        <f>'Weekly overview'!$B$38+(2)</f>
        <v/>
      </c>
      <c r="C148" s="33" t="inlineStr">
        <is>
          <t>Thu</t>
        </is>
      </c>
      <c r="D148" s="33" t="inlineStr">
        <is>
          <t>OT cybersecurity for MES/MOM: what operations leaders need to know</t>
        </is>
      </c>
      <c r="E148" s="33" t="inlineStr">
        <is>
          <t>Implementation</t>
        </is>
      </c>
      <c r="F148" s="33" t="inlineStr">
        <is>
          <t>Question / poll</t>
        </is>
      </c>
      <c r="G148" s="35" t="inlineStr">
        <is>
          <t>Who owns OT cybersecurity in your organisation?</t>
        </is>
      </c>
      <c r="H148" s="33" t="inlineStr">
        <is>
          <t>• Poll: IT / OT engineering / a joint team / nobody clearly
• Comment honestly</t>
        </is>
      </c>
      <c r="I148" s="33" t="inlineStr">
        <is>
          <t>LinkedIn poll (1 week). Reply to comments.</t>
        </is>
      </c>
      <c r="J148" s="33" t="inlineStr">
        <is>
          <t>Poll.</t>
        </is>
      </c>
      <c r="K148" s="33" t="inlineStr">
        <is>
          <t>Story poll, plus a quote graphic in the feed.</t>
        </is>
      </c>
      <c r="L148" s="33" t="inlineStr">
        <is>
          <t>No link (keeps reach up)</t>
        </is>
      </c>
      <c r="M148" s="33" t="n">
        <v>3</v>
      </c>
      <c r="N148" s="36" t="inlineStr">
        <is>
          <t>Planned</t>
        </is>
      </c>
      <c r="O148" s="36" t="n"/>
    </row>
    <row r="149" ht="23.25" customHeight="1" s="27">
      <c r="A149" s="33" t="n">
        <v>37</v>
      </c>
      <c r="B149" s="34">
        <f>'Weekly overview'!$B$38+(3)</f>
        <v/>
      </c>
      <c r="C149" s="33" t="inlineStr">
        <is>
          <t>Fri</t>
        </is>
      </c>
      <c r="D149" s="33" t="inlineStr">
        <is>
          <t>OT cybersecurity for MES/MOM: what operations leaders need to know</t>
        </is>
      </c>
      <c r="E149" s="33" t="inlineStr">
        <is>
          <t>Implementation</t>
        </is>
      </c>
      <c r="F149" s="33" t="inlineStr">
        <is>
          <t>Contrarian take</t>
        </is>
      </c>
      <c r="G149" s="35" t="inlineStr">
        <is>
          <t>Your factory's weakest link is often the remote access laptop someone set up in 2019.</t>
        </is>
      </c>
      <c r="H149" s="33" t="inlineStr">
        <is>
          <t>• Audit remote access before you buy new tools
• Basics first, products second</t>
        </is>
      </c>
      <c r="I149" s="33" t="inlineStr">
        <is>
          <t>Short text post, 50–120 words. No link.</t>
        </is>
      </c>
      <c r="J149" s="33" t="inlineStr">
        <is>
          <t>Single post.</t>
        </is>
      </c>
      <c r="K149" s="33" t="inlineStr">
        <is>
          <t>Carousel: the take on slide 1, the reasoning over 3–4 slides.</t>
        </is>
      </c>
      <c r="L149" s="33" t="inlineStr">
        <is>
          <t>No link (keeps reach up)</t>
        </is>
      </c>
      <c r="M149" s="33" t="n">
        <v>4</v>
      </c>
      <c r="N149" s="36" t="inlineStr">
        <is>
          <t>Planned</t>
        </is>
      </c>
      <c r="O149" s="36" t="n"/>
    </row>
    <row r="150" ht="23.25" customHeight="1" s="27">
      <c r="A150" s="39" t="n">
        <v>38</v>
      </c>
      <c r="B150" s="40">
        <f>'Weekly overview'!$B$39+(-1)</f>
        <v/>
      </c>
      <c r="C150" s="39" t="inlineStr">
        <is>
          <t>Mon</t>
        </is>
      </c>
      <c r="D150" s="39" t="inlineStr">
        <is>
          <t>OPC UA, MQTT and UNS in plain English</t>
        </is>
      </c>
      <c r="E150" s="39" t="inlineStr">
        <is>
          <t>Foundations</t>
        </is>
      </c>
      <c r="F150" s="39" t="inlineStr">
        <is>
          <t>Analogy</t>
        </is>
      </c>
      <c r="G150" s="41" t="inlineStr">
        <is>
          <t>OPC UA is the language. MQTT is the postal service. A UNS is the library.</t>
        </is>
      </c>
      <c r="H150" s="39" t="inlineStr">
        <is>
          <t>• Different jobs, often confused
• You can use one without the others</t>
        </is>
      </c>
      <c r="I150" s="39" t="inlineStr">
        <is>
          <t>Short text post, 50–120 words. No link.</t>
        </is>
      </c>
      <c r="J150" s="39" t="inlineStr">
        <is>
          <t>Single post.</t>
        </is>
      </c>
      <c r="K150" s="39" t="inlineStr">
        <is>
          <t>Quote graphic.</t>
        </is>
      </c>
      <c r="L150" s="39" t="inlineStr">
        <is>
          <t>No link (keeps reach up)</t>
        </is>
      </c>
      <c r="M150" s="39" t="n">
        <v>1</v>
      </c>
      <c r="N150" s="42" t="inlineStr">
        <is>
          <t>Planned</t>
        </is>
      </c>
      <c r="O150" s="42" t="n"/>
    </row>
    <row r="151" ht="45.75" customHeight="1" s="27">
      <c r="A151" s="39" t="n">
        <v>38</v>
      </c>
      <c r="B151" s="40">
        <f>'Weekly overview'!$B$39+(0)</f>
        <v/>
      </c>
      <c r="C151" s="39" t="inlineStr">
        <is>
          <t>Tue</t>
        </is>
      </c>
      <c r="D151" s="39" t="inlineStr">
        <is>
          <t>OPC UA, MQTT and UNS in plain English</t>
        </is>
      </c>
      <c r="E151" s="39" t="inlineStr">
        <is>
          <t>Foundations</t>
        </is>
      </c>
      <c r="F151" s="43" t="inlineStr">
        <is>
          <t>Article post</t>
        </is>
      </c>
      <c r="G151" s="43" t="inlineStr">
        <is>
          <t>OPC UA, MQTT and UNS in plain English.</t>
        </is>
      </c>
      <c r="H151" s="39" t="inlineStr">
        <is>
          <t>• OPC UA: how machines describe their data
• MQTT: a lightweight way to move it
• UNS: one structured place to publish it
• Where MES/MOM fits, and what to ask vendors</t>
        </is>
      </c>
      <c r="I151" s="39" t="inlineStr">
        <is>
          <t>Text post, 150–250 words. Article link in the FIRST COMMENT.</t>
        </is>
      </c>
      <c r="J151" s="39" t="inlineStr">
        <is>
          <t>Thread, 5–7 posts. Link in the last post.</t>
        </is>
      </c>
      <c r="K151" s="39" t="inlineStr">
        <is>
          <t>Carousel, 7–9 slides. 'Link in bio' on the last slide.</t>
        </is>
      </c>
      <c r="L151" s="44" t="inlineStr">
        <is>
          <t>https://www.mesmatters.com/post/opc-ua-mqtt-uns-explained</t>
        </is>
      </c>
      <c r="M151" s="39" t="n">
        <v>2</v>
      </c>
      <c r="N151" s="42" t="inlineStr">
        <is>
          <t>Planned</t>
        </is>
      </c>
      <c r="O151" s="42" t="n"/>
    </row>
    <row r="152" ht="23.25" customHeight="1" s="27">
      <c r="A152" s="39" t="n">
        <v>38</v>
      </c>
      <c r="B152" s="40">
        <f>'Weekly overview'!$B$39+(2)</f>
        <v/>
      </c>
      <c r="C152" s="39" t="inlineStr">
        <is>
          <t>Thu</t>
        </is>
      </c>
      <c r="D152" s="39" t="inlineStr">
        <is>
          <t>OPC UA, MQTT and UNS in plain English</t>
        </is>
      </c>
      <c r="E152" s="39" t="inlineStr">
        <is>
          <t>Foundations</t>
        </is>
      </c>
      <c r="F152" s="39" t="inlineStr">
        <is>
          <t>Question / poll</t>
        </is>
      </c>
      <c r="G152" s="41" t="inlineStr">
        <is>
          <t>Are you building a unified namespace?</t>
        </is>
      </c>
      <c r="H152" s="39" t="inlineStr">
        <is>
          <t>• Poll: yes, live / planning it / looked and passed / what's a UNS?
• Comment: what's it solving for you?</t>
        </is>
      </c>
      <c r="I152" s="39" t="inlineStr">
        <is>
          <t>LinkedIn poll (1 week). Reply to comments.</t>
        </is>
      </c>
      <c r="J152" s="39" t="inlineStr">
        <is>
          <t>Poll.</t>
        </is>
      </c>
      <c r="K152" s="39" t="inlineStr">
        <is>
          <t>Story poll, plus a quote graphic in the feed.</t>
        </is>
      </c>
      <c r="L152" s="39" t="inlineStr">
        <is>
          <t>No link (keeps reach up)</t>
        </is>
      </c>
      <c r="M152" s="39" t="n">
        <v>3</v>
      </c>
      <c r="N152" s="42" t="inlineStr">
        <is>
          <t>Planned</t>
        </is>
      </c>
      <c r="O152" s="42" t="n"/>
    </row>
    <row r="153" ht="23.25" customHeight="1" s="27">
      <c r="A153" s="39" t="n">
        <v>38</v>
      </c>
      <c r="B153" s="40">
        <f>'Weekly overview'!$B$39+(3)</f>
        <v/>
      </c>
      <c r="C153" s="39" t="inlineStr">
        <is>
          <t>Fri</t>
        </is>
      </c>
      <c r="D153" s="39" t="inlineStr">
        <is>
          <t>OPC UA, MQTT and UNS in plain English</t>
        </is>
      </c>
      <c r="E153" s="39" t="inlineStr">
        <is>
          <t>Foundations</t>
        </is>
      </c>
      <c r="F153" s="39" t="inlineStr">
        <is>
          <t>Stat or framework</t>
        </is>
      </c>
      <c r="G153" s="41" t="inlineStr">
        <is>
          <t>OPC UA vs MQTT vs UNS at a glance.</t>
        </is>
      </c>
      <c r="H153" s="39" t="inlineStr">
        <is>
          <t>• Graphic: what each does, where it sits, common misconceptions
• Carousel</t>
        </is>
      </c>
      <c r="I153" s="39" t="inlineStr">
        <is>
          <t>Image or document carousel. No link.</t>
        </is>
      </c>
      <c r="J153" s="39" t="inlineStr">
        <is>
          <t>Single post with the image.</t>
        </is>
      </c>
      <c r="K153" s="39" t="inlineStr">
        <is>
          <t>Carousel, 5–7 slides.</t>
        </is>
      </c>
      <c r="L153" s="39" t="inlineStr">
        <is>
          <t>No link (keeps reach up)</t>
        </is>
      </c>
      <c r="M153" s="39" t="n">
        <v>4</v>
      </c>
      <c r="N153" s="42" t="inlineStr">
        <is>
          <t>Planned</t>
        </is>
      </c>
      <c r="O153" s="42" t="n"/>
    </row>
    <row r="154" ht="23.25" customHeight="1" s="27">
      <c r="A154" s="33" t="n">
        <v>39</v>
      </c>
      <c r="B154" s="34">
        <f>'Weekly overview'!$B$40+(-1)</f>
        <v/>
      </c>
      <c r="C154" s="33" t="inlineStr">
        <is>
          <t>Mon</t>
        </is>
      </c>
      <c r="D154" s="33" t="inlineStr">
        <is>
          <t>Your ERP master data isn't ready for MES</t>
        </is>
      </c>
      <c r="E154" s="33" t="inlineStr">
        <is>
          <t>Implementation</t>
        </is>
      </c>
      <c r="F154" s="33" t="inlineStr">
        <is>
          <t>Contrarian take</t>
        </is>
      </c>
      <c r="G154" s="35" t="inlineStr">
        <is>
          <t>The most underestimated workstream in every MES project is master data. Every time.</t>
        </is>
      </c>
      <c r="H154" s="33" t="inlineStr">
        <is>
          <t>• It's not glamorous, so it gets left until late
• Then it decides the go-live date</t>
        </is>
      </c>
      <c r="I154" s="33" t="inlineStr">
        <is>
          <t>Short text post, 50–120 words. No link.</t>
        </is>
      </c>
      <c r="J154" s="33" t="inlineStr">
        <is>
          <t>Single post.</t>
        </is>
      </c>
      <c r="K154" s="33" t="inlineStr">
        <is>
          <t>Carousel: the take on slide 1, the reasoning over 3–4 slides.</t>
        </is>
      </c>
      <c r="L154" s="33" t="inlineStr">
        <is>
          <t>No link (keeps reach up)</t>
        </is>
      </c>
      <c r="M154" s="33" t="n">
        <v>1</v>
      </c>
      <c r="N154" s="36" t="inlineStr">
        <is>
          <t>Planned</t>
        </is>
      </c>
      <c r="O154" s="36" t="n"/>
    </row>
    <row r="155" ht="45.75" customHeight="1" s="27">
      <c r="A155" s="33" t="n">
        <v>39</v>
      </c>
      <c r="B155" s="34">
        <f>'Weekly overview'!$B$40+(0)</f>
        <v/>
      </c>
      <c r="C155" s="33" t="inlineStr">
        <is>
          <t>Tue</t>
        </is>
      </c>
      <c r="D155" s="33" t="inlineStr">
        <is>
          <t>Your ERP master data isn't ready for MES</t>
        </is>
      </c>
      <c r="E155" s="33" t="inlineStr">
        <is>
          <t>Implementation</t>
        </is>
      </c>
      <c r="F155" s="37" t="inlineStr">
        <is>
          <t>Article post</t>
        </is>
      </c>
      <c r="G155" s="37" t="inlineStr">
        <is>
          <t>Your ERP master data isn't ready for MES.</t>
        </is>
      </c>
      <c r="H155" s="33" t="inlineStr">
        <is>
          <t>• Routings built for costing aren't detailed enough to run a line
• MES needs operations, parameters, resources and specs
• Fix it once, for every system
• Plan for it early and don't rush it</t>
        </is>
      </c>
      <c r="I155" s="33" t="inlineStr">
        <is>
          <t>Text post, 150–250 words. Article link in the FIRST COMMENT.</t>
        </is>
      </c>
      <c r="J155" s="33" t="inlineStr">
        <is>
          <t>Thread, 5–7 posts. Link in the last post.</t>
        </is>
      </c>
      <c r="K155" s="33" t="inlineStr">
        <is>
          <t>Carousel, 7–9 slides. 'Link in bio' on the last slide.</t>
        </is>
      </c>
      <c r="L155" s="38" t="inlineStr">
        <is>
          <t>https://www.mesmatters.com/post/erp-master-data-for-mes</t>
        </is>
      </c>
      <c r="M155" s="33" t="n">
        <v>2</v>
      </c>
      <c r="N155" s="36" t="inlineStr">
        <is>
          <t>Planned</t>
        </is>
      </c>
      <c r="O155" s="36" t="n"/>
    </row>
    <row r="156" ht="23.25" customHeight="1" s="27">
      <c r="A156" s="33" t="n">
        <v>39</v>
      </c>
      <c r="B156" s="34">
        <f>'Weekly overview'!$B$40+(2)</f>
        <v/>
      </c>
      <c r="C156" s="33" t="inlineStr">
        <is>
          <t>Thu</t>
        </is>
      </c>
      <c r="D156" s="33" t="inlineStr">
        <is>
          <t>Your ERP master data isn't ready for MES</t>
        </is>
      </c>
      <c r="E156" s="33" t="inlineStr">
        <is>
          <t>Implementation</t>
        </is>
      </c>
      <c r="F156" s="33" t="inlineStr">
        <is>
          <t>Question / poll</t>
        </is>
      </c>
      <c r="G156" s="35" t="inlineStr">
        <is>
          <t>How clean is your ERP master data?</t>
        </is>
      </c>
      <c r="H156" s="33" t="inlineStr">
        <is>
          <t>• Poll: spotless / good enough for ERP / messy / please don't ask
• Comment: what's the worst part?</t>
        </is>
      </c>
      <c r="I156" s="33" t="inlineStr">
        <is>
          <t>LinkedIn poll (1 week). Reply to comments.</t>
        </is>
      </c>
      <c r="J156" s="33" t="inlineStr">
        <is>
          <t>Poll.</t>
        </is>
      </c>
      <c r="K156" s="33" t="inlineStr">
        <is>
          <t>Story poll, plus a quote graphic in the feed.</t>
        </is>
      </c>
      <c r="L156" s="33" t="inlineStr">
        <is>
          <t>No link (keeps reach up)</t>
        </is>
      </c>
      <c r="M156" s="33" t="n">
        <v>3</v>
      </c>
      <c r="N156" s="36" t="inlineStr">
        <is>
          <t>Planned</t>
        </is>
      </c>
      <c r="O156" s="36" t="n"/>
    </row>
    <row r="157" ht="45.75" customHeight="1" s="27">
      <c r="A157" s="33" t="n">
        <v>39</v>
      </c>
      <c r="B157" s="34">
        <f>'Weekly overview'!$B$40+(3)</f>
        <v/>
      </c>
      <c r="C157" s="33" t="inlineStr">
        <is>
          <t>Fri</t>
        </is>
      </c>
      <c r="D157" s="33" t="inlineStr">
        <is>
          <t>Your ERP master data isn't ready for MES</t>
        </is>
      </c>
      <c r="E157" s="33" t="inlineStr">
        <is>
          <t>Implementation</t>
        </is>
      </c>
      <c r="F157" s="33" t="inlineStr">
        <is>
          <t>Checklist</t>
        </is>
      </c>
      <c r="G157" s="35" t="inlineStr">
        <is>
          <t>Four master data checks before you start an MES project.</t>
        </is>
      </c>
      <c r="H157" s="33" t="inlineStr">
        <is>
          <t>• Routings match how products are really made
• Resources and work centres are current
• Specs and parameters are digital
• Ownership is clear. Carousel</t>
        </is>
      </c>
      <c r="I157" s="33" t="inlineStr">
        <is>
          <t>Document carousel (PDF), one item per page.</t>
        </is>
      </c>
      <c r="J157" s="33" t="inlineStr">
        <is>
          <t>Thread, one item per post.</t>
        </is>
      </c>
      <c r="K157" s="33" t="inlineStr">
        <is>
          <t>Carousel, one item per slide.</t>
        </is>
      </c>
      <c r="L157" s="33" t="inlineStr">
        <is>
          <t>No link (keeps reach up)</t>
        </is>
      </c>
      <c r="M157" s="33" t="n">
        <v>4</v>
      </c>
      <c r="N157" s="36" t="inlineStr">
        <is>
          <t>Planned</t>
        </is>
      </c>
      <c r="O157" s="36" t="n"/>
    </row>
    <row r="158" ht="34.5" customHeight="1" s="27">
      <c r="A158" s="39" t="n">
        <v>40</v>
      </c>
      <c r="B158" s="40">
        <f>'Weekly overview'!$B$41+(-1)</f>
        <v/>
      </c>
      <c r="C158" s="39" t="inlineStr">
        <is>
          <t>Mon</t>
        </is>
      </c>
      <c r="D158" s="39" t="inlineStr">
        <is>
          <t>MES/MOM in regulated industries: pharma, medical devices, aerospace and automotive</t>
        </is>
      </c>
      <c r="E158" s="39" t="inlineStr">
        <is>
          <t>Foundations</t>
        </is>
      </c>
      <c r="F158" s="39" t="inlineStr">
        <is>
          <t>Stat or framework</t>
        </is>
      </c>
      <c r="G158" s="41" t="inlineStr">
        <is>
          <t>Four regulated industries, four records MES/MOM has to produce.</t>
        </is>
      </c>
      <c r="H158" s="39" t="inlineStr">
        <is>
          <t>• Graphic: EBR, DHR, FAI, PPAP explained in one line each
• Carousel</t>
        </is>
      </c>
      <c r="I158" s="39" t="inlineStr">
        <is>
          <t>Image or document carousel. No link.</t>
        </is>
      </c>
      <c r="J158" s="39" t="inlineStr">
        <is>
          <t>Single post with the image.</t>
        </is>
      </c>
      <c r="K158" s="39" t="inlineStr">
        <is>
          <t>Carousel, 5–7 slides.</t>
        </is>
      </c>
      <c r="L158" s="39" t="inlineStr">
        <is>
          <t>No link (keeps reach up)</t>
        </is>
      </c>
      <c r="M158" s="39" t="n">
        <v>1</v>
      </c>
      <c r="N158" s="42" t="inlineStr">
        <is>
          <t>Planned</t>
        </is>
      </c>
      <c r="O158" s="42" t="n"/>
    </row>
    <row r="159" ht="45.75" customHeight="1" s="27">
      <c r="A159" s="39" t="n">
        <v>40</v>
      </c>
      <c r="B159" s="40">
        <f>'Weekly overview'!$B$41+(0)</f>
        <v/>
      </c>
      <c r="C159" s="39" t="inlineStr">
        <is>
          <t>Tue</t>
        </is>
      </c>
      <c r="D159" s="39" t="inlineStr">
        <is>
          <t>MES/MOM in regulated industries: pharma, medical devices, aerospace and automotive</t>
        </is>
      </c>
      <c r="E159" s="39" t="inlineStr">
        <is>
          <t>Foundations</t>
        </is>
      </c>
      <c r="F159" s="43" t="inlineStr">
        <is>
          <t>Article post</t>
        </is>
      </c>
      <c r="G159" s="43" t="inlineStr">
        <is>
          <t>What changes when regulators audit your shopfloor?</t>
        </is>
      </c>
      <c r="H159" s="39" t="inlineStr">
        <is>
          <t>• Pharma: electronic batch records
• Medical devices: device history records
• Aerospace: first article inspection
• Automotive: PPAP and traceability</t>
        </is>
      </c>
      <c r="I159" s="39" t="inlineStr">
        <is>
          <t>Text post, 150–250 words. Article link in the FIRST COMMENT.</t>
        </is>
      </c>
      <c r="J159" s="39" t="inlineStr">
        <is>
          <t>Thread, 5–7 posts. Link in the last post.</t>
        </is>
      </c>
      <c r="K159" s="39" t="inlineStr">
        <is>
          <t>Carousel, 7–9 slides. 'Link in bio' on the last slide.</t>
        </is>
      </c>
      <c r="L159" s="44" t="inlineStr">
        <is>
          <t>https://www.mesmatters.com/post/mes-in-regulated-industries</t>
        </is>
      </c>
      <c r="M159" s="39" t="n">
        <v>2</v>
      </c>
      <c r="N159" s="42" t="inlineStr">
        <is>
          <t>Planned</t>
        </is>
      </c>
      <c r="O159" s="42" t="n"/>
    </row>
    <row r="160" ht="34.5" customHeight="1" s="27">
      <c r="A160" s="39" t="n">
        <v>40</v>
      </c>
      <c r="B160" s="40">
        <f>'Weekly overview'!$B$41+(2)</f>
        <v/>
      </c>
      <c r="C160" s="39" t="inlineStr">
        <is>
          <t>Thu</t>
        </is>
      </c>
      <c r="D160" s="39" t="inlineStr">
        <is>
          <t>MES/MOM in regulated industries: pharma, medical devices, aerospace and automotive</t>
        </is>
      </c>
      <c r="E160" s="39" t="inlineStr">
        <is>
          <t>Foundations</t>
        </is>
      </c>
      <c r="F160" s="39" t="inlineStr">
        <is>
          <t>Question / poll</t>
        </is>
      </c>
      <c r="G160" s="41" t="inlineStr">
        <is>
          <t>Which regulated industry do you work in?</t>
        </is>
      </c>
      <c r="H160" s="39" t="inlineStr">
        <is>
          <t>• Poll: pharma / medical devices / aerospace / automotive
• Comment: what's your biggest compliance headache?</t>
        </is>
      </c>
      <c r="I160" s="39" t="inlineStr">
        <is>
          <t>LinkedIn poll (1 week). Reply to comments.</t>
        </is>
      </c>
      <c r="J160" s="39" t="inlineStr">
        <is>
          <t>Poll.</t>
        </is>
      </c>
      <c r="K160" s="39" t="inlineStr">
        <is>
          <t>Story poll, plus a quote graphic in the feed.</t>
        </is>
      </c>
      <c r="L160" s="39" t="inlineStr">
        <is>
          <t>No link (keeps reach up)</t>
        </is>
      </c>
      <c r="M160" s="39" t="n">
        <v>3</v>
      </c>
      <c r="N160" s="42" t="inlineStr">
        <is>
          <t>Planned</t>
        </is>
      </c>
      <c r="O160" s="42" t="n"/>
    </row>
    <row r="161" ht="34.5" customHeight="1" s="27">
      <c r="A161" s="39" t="n">
        <v>40</v>
      </c>
      <c r="B161" s="40">
        <f>'Weekly overview'!$B$41+(3)</f>
        <v/>
      </c>
      <c r="C161" s="39" t="inlineStr">
        <is>
          <t>Fri</t>
        </is>
      </c>
      <c r="D161" s="39" t="inlineStr">
        <is>
          <t>MES/MOM in regulated industries: pharma, medical devices, aerospace and automotive</t>
        </is>
      </c>
      <c r="E161" s="39" t="inlineStr">
        <is>
          <t>Foundations</t>
        </is>
      </c>
      <c r="F161" s="39" t="inlineStr">
        <is>
          <t>Contrarian take</t>
        </is>
      </c>
      <c r="G161" s="41" t="inlineStr">
        <is>
          <t>Paper batch records aren't safer for compliance. They're just slower to prove you're compliant.</t>
        </is>
      </c>
      <c r="H161" s="39" t="inlineStr">
        <is>
          <t>• Electronic records enforce the process as it happens
• Review by exception, not page by page</t>
        </is>
      </c>
      <c r="I161" s="39" t="inlineStr">
        <is>
          <t>Short text post, 50–120 words. No link.</t>
        </is>
      </c>
      <c r="J161" s="39" t="inlineStr">
        <is>
          <t>Single post.</t>
        </is>
      </c>
      <c r="K161" s="39" t="inlineStr">
        <is>
          <t>Carousel: the take on slide 1, the reasoning over 3–4 slides.</t>
        </is>
      </c>
      <c r="L161" s="39" t="inlineStr">
        <is>
          <t>No link (keeps reach up)</t>
        </is>
      </c>
      <c r="M161" s="39" t="n">
        <v>4</v>
      </c>
      <c r="N161" s="42" t="inlineStr">
        <is>
          <t>Planned</t>
        </is>
      </c>
      <c r="O161" s="42" t="n"/>
    </row>
    <row r="162" ht="23.25" customHeight="1" s="27">
      <c r="A162" s="33" t="n">
        <v>41</v>
      </c>
      <c r="B162" s="34">
        <f>'Weekly overview'!$B$42+(-1)</f>
        <v/>
      </c>
      <c r="C162" s="33" t="inlineStr">
        <is>
          <t>Mon</t>
        </is>
      </c>
      <c r="D162" s="33" t="inlineStr">
        <is>
          <t>You can't hit ESG targets without shopfloor data</t>
        </is>
      </c>
      <c r="E162" s="33" t="inlineStr">
        <is>
          <t>Smart Factory &amp; AI</t>
        </is>
      </c>
      <c r="F162" s="33" t="inlineStr">
        <is>
          <t>Contrarian take</t>
        </is>
      </c>
      <c r="G162" s="35" t="inlineStr">
        <is>
          <t>Scrap is a sustainability problem as well as a cost problem.</t>
        </is>
      </c>
      <c r="H162" s="33" t="inlineStr">
        <is>
          <t>• Every scrapped part wasted materials, energy and labour
• Cut scrap and you improve both numbers</t>
        </is>
      </c>
      <c r="I162" s="33" t="inlineStr">
        <is>
          <t>Short text post, 50–120 words. No link.</t>
        </is>
      </c>
      <c r="J162" s="33" t="inlineStr">
        <is>
          <t>Single post.</t>
        </is>
      </c>
      <c r="K162" s="33" t="inlineStr">
        <is>
          <t>Carousel: the take on slide 1, the reasoning over 3–4 slides.</t>
        </is>
      </c>
      <c r="L162" s="33" t="inlineStr">
        <is>
          <t>No link (keeps reach up)</t>
        </is>
      </c>
      <c r="M162" s="33" t="n">
        <v>1</v>
      </c>
      <c r="N162" s="36" t="inlineStr">
        <is>
          <t>Planned</t>
        </is>
      </c>
      <c r="O162" s="36" t="n"/>
    </row>
    <row r="163" ht="45.75" customHeight="1" s="27">
      <c r="A163" s="33" t="n">
        <v>41</v>
      </c>
      <c r="B163" s="34">
        <f>'Weekly overview'!$B$42+(0)</f>
        <v/>
      </c>
      <c r="C163" s="33" t="inlineStr">
        <is>
          <t>Tue</t>
        </is>
      </c>
      <c r="D163" s="33" t="inlineStr">
        <is>
          <t>You can't hit ESG targets without shopfloor data</t>
        </is>
      </c>
      <c r="E163" s="33" t="inlineStr">
        <is>
          <t>Smart Factory &amp; AI</t>
        </is>
      </c>
      <c r="F163" s="37" t="inlineStr">
        <is>
          <t>Article post</t>
        </is>
      </c>
      <c r="G163" s="37" t="inlineStr">
        <is>
          <t>You can't hit ESG targets without shopfloor data.</t>
        </is>
      </c>
      <c r="H163" s="33" t="inlineStr">
        <is>
          <t>• Ambitious ESG goals, shopfloors unchanged for five years
• What ESG actually needs from operations
• Sustainability and profit are the same conversation
• Where the data comes from</t>
        </is>
      </c>
      <c r="I163" s="33" t="inlineStr">
        <is>
          <t>Text post, 150–250 words. Article link in the FIRST COMMENT.</t>
        </is>
      </c>
      <c r="J163" s="33" t="inlineStr">
        <is>
          <t>Thread, 5–7 posts. Link in the last post.</t>
        </is>
      </c>
      <c r="K163" s="33" t="inlineStr">
        <is>
          <t>Carousel, 7–9 slides. 'Link in bio' on the last slide.</t>
        </is>
      </c>
      <c r="L163" s="38" t="inlineStr">
        <is>
          <t>https://www.mesmatters.com/post/esg-needs-shopfloor-data</t>
        </is>
      </c>
      <c r="M163" s="33" t="n">
        <v>2</v>
      </c>
      <c r="N163" s="36" t="inlineStr">
        <is>
          <t>Planned</t>
        </is>
      </c>
      <c r="O163" s="36" t="n"/>
    </row>
    <row r="164" ht="23.25" customHeight="1" s="27">
      <c r="A164" s="33" t="n">
        <v>41</v>
      </c>
      <c r="B164" s="34">
        <f>'Weekly overview'!$B$42+(2)</f>
        <v/>
      </c>
      <c r="C164" s="33" t="inlineStr">
        <is>
          <t>Thu</t>
        </is>
      </c>
      <c r="D164" s="33" t="inlineStr">
        <is>
          <t>You can't hit ESG targets without shopfloor data</t>
        </is>
      </c>
      <c r="E164" s="33" t="inlineStr">
        <is>
          <t>Smart Factory &amp; AI</t>
        </is>
      </c>
      <c r="F164" s="33" t="inlineStr">
        <is>
          <t>Question / poll</t>
        </is>
      </c>
      <c r="G164" s="35" t="inlineStr">
        <is>
          <t>Where does your ESG data come from today?</t>
        </is>
      </c>
      <c r="H164" s="33" t="inlineStr">
        <is>
          <t>• Poll: meters and estimates / ERP / MES/MOM / spreadsheets
• Comment: how confident are you in it?</t>
        </is>
      </c>
      <c r="I164" s="33" t="inlineStr">
        <is>
          <t>LinkedIn poll (1 week). Reply to comments.</t>
        </is>
      </c>
      <c r="J164" s="33" t="inlineStr">
        <is>
          <t>Poll.</t>
        </is>
      </c>
      <c r="K164" s="33" t="inlineStr">
        <is>
          <t>Story poll, plus a quote graphic in the feed.</t>
        </is>
      </c>
      <c r="L164" s="33" t="inlineStr">
        <is>
          <t>No link (keeps reach up)</t>
        </is>
      </c>
      <c r="M164" s="33" t="n">
        <v>3</v>
      </c>
      <c r="N164" s="36" t="inlineStr">
        <is>
          <t>Planned</t>
        </is>
      </c>
      <c r="O164" s="36" t="n"/>
    </row>
    <row r="165" ht="23.25" customHeight="1" s="27">
      <c r="A165" s="33" t="n">
        <v>41</v>
      </c>
      <c r="B165" s="34">
        <f>'Weekly overview'!$B$42+(3)</f>
        <v/>
      </c>
      <c r="C165" s="33" t="inlineStr">
        <is>
          <t>Fri</t>
        </is>
      </c>
      <c r="D165" s="33" t="inlineStr">
        <is>
          <t>You can't hit ESG targets without shopfloor data</t>
        </is>
      </c>
      <c r="E165" s="33" t="inlineStr">
        <is>
          <t>Smart Factory &amp; AI</t>
        </is>
      </c>
      <c r="F165" s="33" t="inlineStr">
        <is>
          <t>Stat or framework</t>
        </is>
      </c>
      <c r="G165" s="35" t="inlineStr">
        <is>
          <t>The shopfloor data ESG reporting needs: energy per unit, scrap, yield, waste.</t>
        </is>
      </c>
      <c r="H165" s="33" t="inlineStr">
        <is>
          <t>• Graphic: from machine to ESG report
• Carousel</t>
        </is>
      </c>
      <c r="I165" s="33" t="inlineStr">
        <is>
          <t>Image or document carousel. No link.</t>
        </is>
      </c>
      <c r="J165" s="33" t="inlineStr">
        <is>
          <t>Single post with the image.</t>
        </is>
      </c>
      <c r="K165" s="33" t="inlineStr">
        <is>
          <t>Carousel, 5–7 slides.</t>
        </is>
      </c>
      <c r="L165" s="33" t="inlineStr">
        <is>
          <t>No link (keeps reach up)</t>
        </is>
      </c>
      <c r="M165" s="33" t="n">
        <v>4</v>
      </c>
      <c r="N165" s="36" t="inlineStr">
        <is>
          <t>Planned</t>
        </is>
      </c>
      <c r="O165" s="36" t="n"/>
    </row>
    <row r="166" ht="23.25" customHeight="1" s="27">
      <c r="A166" s="39" t="n">
        <v>42</v>
      </c>
      <c r="B166" s="40">
        <f>'Weekly overview'!$B$43+(-1)</f>
        <v/>
      </c>
      <c r="C166" s="39" t="inlineStr">
        <is>
          <t>Mon</t>
        </is>
      </c>
      <c r="D166" s="39" t="inlineStr">
        <is>
          <t>MES functionality: tooling</t>
        </is>
      </c>
      <c r="E166" s="39" t="inlineStr">
        <is>
          <t>Foundations</t>
        </is>
      </c>
      <c r="F166" s="39" t="inlineStr">
        <is>
          <t>Stat or framework</t>
        </is>
      </c>
      <c r="G166" s="41" t="inlineStr">
        <is>
          <t>"Made with tool T-114, cavity 3, between 02:00 and 04:00, at 92% of its life."</t>
        </is>
      </c>
      <c r="H166" s="39" t="inlineStr">
        <is>
          <t>• That's what tooling traceability gives a quality investigation
• Without it, you're guessing</t>
        </is>
      </c>
      <c r="I166" s="39" t="inlineStr">
        <is>
          <t>Image or document carousel. No link.</t>
        </is>
      </c>
      <c r="J166" s="39" t="inlineStr">
        <is>
          <t>Single post with the image.</t>
        </is>
      </c>
      <c r="K166" s="39" t="inlineStr">
        <is>
          <t>Carousel, 5–7 slides.</t>
        </is>
      </c>
      <c r="L166" s="39" t="inlineStr">
        <is>
          <t>No link (keeps reach up)</t>
        </is>
      </c>
      <c r="M166" s="39" t="n">
        <v>1</v>
      </c>
      <c r="N166" s="42" t="inlineStr">
        <is>
          <t>Planned</t>
        </is>
      </c>
      <c r="O166" s="42" t="n"/>
    </row>
    <row r="167" ht="45.75" customHeight="1" s="27">
      <c r="A167" s="39" t="n">
        <v>42</v>
      </c>
      <c r="B167" s="40">
        <f>'Weekly overview'!$B$43+(0)</f>
        <v/>
      </c>
      <c r="C167" s="39" t="inlineStr">
        <is>
          <t>Tue</t>
        </is>
      </c>
      <c r="D167" s="39" t="inlineStr">
        <is>
          <t>MES functionality: tooling</t>
        </is>
      </c>
      <c r="E167" s="39" t="inlineStr">
        <is>
          <t>Foundations</t>
        </is>
      </c>
      <c r="F167" s="43" t="inlineStr">
        <is>
          <t>Article post</t>
        </is>
      </c>
      <c r="G167" s="43" t="inlineStr">
        <is>
          <t>Moulds, dies and fixtures are often the biggest factor in quality. Most factories manage them on paper.</t>
        </is>
      </c>
      <c r="H167" s="39" t="inlineStr">
        <is>
          <t>• Tool life, readiness and setups
• Why tooling belongs in MES/MOM
• Tooling is part of traceability
• Turn a bottleneck into a planned activity</t>
        </is>
      </c>
      <c r="I167" s="39" t="inlineStr">
        <is>
          <t>Text post, 150–250 words. Article link in the FIRST COMMENT.</t>
        </is>
      </c>
      <c r="J167" s="39" t="inlineStr">
        <is>
          <t>Thread, 5–7 posts. Link in the last post.</t>
        </is>
      </c>
      <c r="K167" s="39" t="inlineStr">
        <is>
          <t>Carousel, 7–9 slides. 'Link in bio' on the last slide.</t>
        </is>
      </c>
      <c r="L167" s="44" t="inlineStr">
        <is>
          <t>https://www.mesmatters.com/post/mes-functionality-tooling</t>
        </is>
      </c>
      <c r="M167" s="39" t="n">
        <v>2</v>
      </c>
      <c r="N167" s="42" t="inlineStr">
        <is>
          <t>Planned</t>
        </is>
      </c>
      <c r="O167" s="42" t="n"/>
    </row>
    <row r="168" ht="34.5" customHeight="1" s="27">
      <c r="A168" s="39" t="n">
        <v>42</v>
      </c>
      <c r="B168" s="40">
        <f>'Weekly overview'!$B$43+(2)</f>
        <v/>
      </c>
      <c r="C168" s="39" t="inlineStr">
        <is>
          <t>Thu</t>
        </is>
      </c>
      <c r="D168" s="39" t="inlineStr">
        <is>
          <t>MES functionality: tooling</t>
        </is>
      </c>
      <c r="E168" s="39" t="inlineStr">
        <is>
          <t>Foundations</t>
        </is>
      </c>
      <c r="F168" s="39" t="inlineStr">
        <is>
          <t>Question / poll</t>
        </is>
      </c>
      <c r="G168" s="41" t="inlineStr">
        <is>
          <t>How do you track tool life today?</t>
        </is>
      </c>
      <c r="H168" s="39" t="inlineStr">
        <is>
          <t>• Poll: automatically in a system / spreadsheet / tool room knowledge / we don't
• Comment: what happens when a tool fails?</t>
        </is>
      </c>
      <c r="I168" s="39" t="inlineStr">
        <is>
          <t>LinkedIn poll (1 week). Reply to comments.</t>
        </is>
      </c>
      <c r="J168" s="39" t="inlineStr">
        <is>
          <t>Poll.</t>
        </is>
      </c>
      <c r="K168" s="39" t="inlineStr">
        <is>
          <t>Story poll, plus a quote graphic in the feed.</t>
        </is>
      </c>
      <c r="L168" s="39" t="inlineStr">
        <is>
          <t>No link (keeps reach up)</t>
        </is>
      </c>
      <c r="M168" s="39" t="n">
        <v>3</v>
      </c>
      <c r="N168" s="42" t="inlineStr">
        <is>
          <t>Planned</t>
        </is>
      </c>
      <c r="O168" s="42" t="n"/>
    </row>
    <row r="169" ht="23.25" customHeight="1" s="27">
      <c r="A169" s="39" t="n">
        <v>42</v>
      </c>
      <c r="B169" s="40">
        <f>'Weekly overview'!$B$43+(3)</f>
        <v/>
      </c>
      <c r="C169" s="39" t="inlineStr">
        <is>
          <t>Fri</t>
        </is>
      </c>
      <c r="D169" s="39" t="inlineStr">
        <is>
          <t>MES functionality: tooling</t>
        </is>
      </c>
      <c r="E169" s="39" t="inlineStr">
        <is>
          <t>Foundations</t>
        </is>
      </c>
      <c r="F169" s="39" t="inlineStr">
        <is>
          <t>Contrarian take</t>
        </is>
      </c>
      <c r="G169" s="41" t="inlineStr">
        <is>
          <t>If an order waits because the tool isn't ready, that's not bad luck. It's a planning gap.</t>
        </is>
      </c>
      <c r="H169" s="39" t="inlineStr">
        <is>
          <t>• Tool readiness should be visible before the order starts
• Plan it like any other resource</t>
        </is>
      </c>
      <c r="I169" s="39" t="inlineStr">
        <is>
          <t>Short text post, 50–120 words. No link.</t>
        </is>
      </c>
      <c r="J169" s="39" t="inlineStr">
        <is>
          <t>Single post.</t>
        </is>
      </c>
      <c r="K169" s="39" t="inlineStr">
        <is>
          <t>Carousel: the take on slide 1, the reasoning over 3–4 slides.</t>
        </is>
      </c>
      <c r="L169" s="39" t="inlineStr">
        <is>
          <t>No link (keeps reach up)</t>
        </is>
      </c>
      <c r="M169" s="39" t="n">
        <v>4</v>
      </c>
      <c r="N169" s="42" t="inlineStr">
        <is>
          <t>Planned</t>
        </is>
      </c>
      <c r="O169" s="42" t="n"/>
    </row>
    <row r="170" ht="23.25" customHeight="1" s="27">
      <c r="A170" s="33" t="n">
        <v>43</v>
      </c>
      <c r="B170" s="34">
        <f>'Weekly overview'!$B$44+(-1)</f>
        <v/>
      </c>
      <c r="C170" s="33" t="inlineStr">
        <is>
          <t>Mon</t>
        </is>
      </c>
      <c r="D170" s="33" t="inlineStr">
        <is>
          <t>Closing the loop: service data back to the shopfloor and engineering</t>
        </is>
      </c>
      <c r="E170" s="33" t="inlineStr">
        <is>
          <t>Smart Factory &amp; AI</t>
        </is>
      </c>
      <c r="F170" s="33" t="inlineStr">
        <is>
          <t>Stat or framework</t>
        </is>
      </c>
      <c r="G170" s="35" t="inlineStr">
        <is>
          <t>Field failure → as-built record → root cause → engineering change → production.</t>
        </is>
      </c>
      <c r="H170" s="33" t="inlineStr">
        <is>
          <t>• Graphic: the closed loop
• Carousel</t>
        </is>
      </c>
      <c r="I170" s="33" t="inlineStr">
        <is>
          <t>Image or document carousel. No link.</t>
        </is>
      </c>
      <c r="J170" s="33" t="inlineStr">
        <is>
          <t>Single post with the image.</t>
        </is>
      </c>
      <c r="K170" s="33" t="inlineStr">
        <is>
          <t>Carousel, 5–7 slides.</t>
        </is>
      </c>
      <c r="L170" s="33" t="inlineStr">
        <is>
          <t>No link (keeps reach up)</t>
        </is>
      </c>
      <c r="M170" s="33" t="n">
        <v>1</v>
      </c>
      <c r="N170" s="36" t="inlineStr">
        <is>
          <t>Planned</t>
        </is>
      </c>
      <c r="O170" s="36" t="n"/>
    </row>
    <row r="171" ht="45.75" customHeight="1" s="27">
      <c r="A171" s="33" t="n">
        <v>43</v>
      </c>
      <c r="B171" s="34">
        <f>'Weekly overview'!$B$44+(0)</f>
        <v/>
      </c>
      <c r="C171" s="33" t="inlineStr">
        <is>
          <t>Tue</t>
        </is>
      </c>
      <c r="D171" s="33" t="inlineStr">
        <is>
          <t>Closing the loop: service data back to the shopfloor and engineering</t>
        </is>
      </c>
      <c r="E171" s="33" t="inlineStr">
        <is>
          <t>Smart Factory &amp; AI</t>
        </is>
      </c>
      <c r="F171" s="37" t="inlineStr">
        <is>
          <t>Article post</t>
        </is>
      </c>
      <c r="G171" s="37" t="inlineStr">
        <is>
          <t>When a product fails in the field, the answer is often in the as-built record.</t>
        </is>
      </c>
      <c r="H171" s="33" t="inlineStr">
        <is>
          <t>• Service, ERP, MES/MOM and PLM all hold part of the story
• A typical failure investigation, step by step
• How the loop connects and the integration options
• Make it a habit, not a crisis</t>
        </is>
      </c>
      <c r="I171" s="33" t="inlineStr">
        <is>
          <t>Text post, 150–250 words. Article link in the FIRST COMMENT.</t>
        </is>
      </c>
      <c r="J171" s="33" t="inlineStr">
        <is>
          <t>Thread, 5–7 posts. Link in the last post.</t>
        </is>
      </c>
      <c r="K171" s="33" t="inlineStr">
        <is>
          <t>Carousel, 7–9 slides. 'Link in bio' on the last slide.</t>
        </is>
      </c>
      <c r="L171" s="38" t="inlineStr">
        <is>
          <t>https://www.mesmatters.com/post/service-data-back-to-engineering</t>
        </is>
      </c>
      <c r="M171" s="33" t="n">
        <v>2</v>
      </c>
      <c r="N171" s="36" t="inlineStr">
        <is>
          <t>Planned</t>
        </is>
      </c>
      <c r="O171" s="36" t="n"/>
    </row>
    <row r="172" ht="34.5" customHeight="1" s="27">
      <c r="A172" s="33" t="n">
        <v>43</v>
      </c>
      <c r="B172" s="34">
        <f>'Weekly overview'!$B$44+(2)</f>
        <v/>
      </c>
      <c r="C172" s="33" t="inlineStr">
        <is>
          <t>Thu</t>
        </is>
      </c>
      <c r="D172" s="33" t="inlineStr">
        <is>
          <t>Closing the loop: service data back to the shopfloor and engineering</t>
        </is>
      </c>
      <c r="E172" s="33" t="inlineStr">
        <is>
          <t>Smart Factory &amp; AI</t>
        </is>
      </c>
      <c r="F172" s="33" t="inlineStr">
        <is>
          <t>Question / poll</t>
        </is>
      </c>
      <c r="G172" s="35" t="inlineStr">
        <is>
          <t>Does field failure data reach your shopfloor?</t>
        </is>
      </c>
      <c r="H172" s="33" t="inlineStr">
        <is>
          <t>• Poll: yes, routinely / only for big issues / via engineering, eventually / no
• Comment: what would change if it did?</t>
        </is>
      </c>
      <c r="I172" s="33" t="inlineStr">
        <is>
          <t>LinkedIn poll (1 week). Reply to comments.</t>
        </is>
      </c>
      <c r="J172" s="33" t="inlineStr">
        <is>
          <t>Poll.</t>
        </is>
      </c>
      <c r="K172" s="33" t="inlineStr">
        <is>
          <t>Story poll, plus a quote graphic in the feed.</t>
        </is>
      </c>
      <c r="L172" s="33" t="inlineStr">
        <is>
          <t>No link (keeps reach up)</t>
        </is>
      </c>
      <c r="M172" s="33" t="n">
        <v>3</v>
      </c>
      <c r="N172" s="36" t="inlineStr">
        <is>
          <t>Planned</t>
        </is>
      </c>
      <c r="O172" s="36" t="n"/>
    </row>
    <row r="173" ht="23.25" customHeight="1" s="27">
      <c r="A173" s="33" t="n">
        <v>43</v>
      </c>
      <c r="B173" s="34">
        <f>'Weekly overview'!$B$44+(3)</f>
        <v/>
      </c>
      <c r="C173" s="33" t="inlineStr">
        <is>
          <t>Fri</t>
        </is>
      </c>
      <c r="D173" s="33" t="inlineStr">
        <is>
          <t>Closing the loop: service data back to the shopfloor and engineering</t>
        </is>
      </c>
      <c r="E173" s="33" t="inlineStr">
        <is>
          <t>Smart Factory &amp; AI</t>
        </is>
      </c>
      <c r="F173" s="33" t="inlineStr">
        <is>
          <t>Contrarian take</t>
        </is>
      </c>
      <c r="G173" s="35" t="inlineStr">
        <is>
          <t>Warranty costs are often a traceability problem in disguise.</t>
        </is>
      </c>
      <c r="H173" s="33" t="inlineStr">
        <is>
          <t>• If you can't link a failure to how it was built, you can't stop it repeating
• Closing the loop pays for itself</t>
        </is>
      </c>
      <c r="I173" s="33" t="inlineStr">
        <is>
          <t>Short text post, 50–120 words. No link.</t>
        </is>
      </c>
      <c r="J173" s="33" t="inlineStr">
        <is>
          <t>Single post.</t>
        </is>
      </c>
      <c r="K173" s="33" t="inlineStr">
        <is>
          <t>Carousel: the take on slide 1, the reasoning over 3–4 slides.</t>
        </is>
      </c>
      <c r="L173" s="33" t="inlineStr">
        <is>
          <t>No link (keeps reach up)</t>
        </is>
      </c>
      <c r="M173" s="33" t="n">
        <v>4</v>
      </c>
      <c r="N173" s="36" t="inlineStr">
        <is>
          <t>Planned</t>
        </is>
      </c>
      <c r="O173" s="36" t="n"/>
    </row>
    <row r="174" ht="23.25" customHeight="1" s="27">
      <c r="A174" s="39" t="n">
        <v>44</v>
      </c>
      <c r="B174" s="40">
        <f>'Weekly overview'!$B$45+(-1)</f>
        <v/>
      </c>
      <c r="C174" s="39" t="inlineStr">
        <is>
          <t>Mon</t>
        </is>
      </c>
      <c r="D174" s="39" t="inlineStr">
        <is>
          <t>Replacing a homegrown MES: the people problem nobody plans for</t>
        </is>
      </c>
      <c r="E174" s="39" t="inlineStr">
        <is>
          <t>Implementation</t>
        </is>
      </c>
      <c r="F174" s="39" t="inlineStr">
        <is>
          <t>Stat or framework</t>
        </is>
      </c>
      <c r="G174" s="41" t="inlineStr">
        <is>
          <t>The new system handles 95% of requirements brilliantly. The missing 5% gets all the criticism.</t>
        </is>
      </c>
      <c r="H174" s="39" t="inlineStr">
        <is>
          <t>• Plan for it: decide early what 'good enough' means
• Celebrate the 95% out loud</t>
        </is>
      </c>
      <c r="I174" s="39" t="inlineStr">
        <is>
          <t>Image or document carousel. No link.</t>
        </is>
      </c>
      <c r="J174" s="39" t="inlineStr">
        <is>
          <t>Single post with the image.</t>
        </is>
      </c>
      <c r="K174" s="39" t="inlineStr">
        <is>
          <t>Carousel, 5–7 slides.</t>
        </is>
      </c>
      <c r="L174" s="39" t="inlineStr">
        <is>
          <t>No link (keeps reach up)</t>
        </is>
      </c>
      <c r="M174" s="39" t="n">
        <v>1</v>
      </c>
      <c r="N174" s="42" t="inlineStr">
        <is>
          <t>Planned</t>
        </is>
      </c>
      <c r="O174" s="42" t="n"/>
    </row>
    <row r="175" ht="45.75" customHeight="1" s="27">
      <c r="A175" s="39" t="n">
        <v>44</v>
      </c>
      <c r="B175" s="40">
        <f>'Weekly overview'!$B$45+(0)</f>
        <v/>
      </c>
      <c r="C175" s="39" t="inlineStr">
        <is>
          <t>Tue</t>
        </is>
      </c>
      <c r="D175" s="39" t="inlineStr">
        <is>
          <t>Replacing a homegrown MES: the people problem nobody plans for</t>
        </is>
      </c>
      <c r="E175" s="39" t="inlineStr">
        <is>
          <t>Implementation</t>
        </is>
      </c>
      <c r="F175" s="43" t="inlineStr">
        <is>
          <t>Article post</t>
        </is>
      </c>
      <c r="G175" s="43" t="inlineStr">
        <is>
          <t>Replacing a homegrown MES is a people problem first.</t>
        </is>
      </c>
      <c r="H175" s="39" t="inlineStr">
        <is>
          <t>• The developers who built it have the most to lose
• The urge to replicate everything
• The 95% problem: the missing 5% gets all the attention
• The goal isn't to rebuild what you had</t>
        </is>
      </c>
      <c r="I175" s="39" t="inlineStr">
        <is>
          <t>Text post, 150–250 words. Article link in the FIRST COMMENT.</t>
        </is>
      </c>
      <c r="J175" s="39" t="inlineStr">
        <is>
          <t>Thread, 5–7 posts. Link in the last post.</t>
        </is>
      </c>
      <c r="K175" s="39" t="inlineStr">
        <is>
          <t>Carousel, 7–9 slides. 'Link in bio' on the last slide.</t>
        </is>
      </c>
      <c r="L175" s="44" t="inlineStr">
        <is>
          <t>https://www.mesmatters.com/post/replacing-a-homegrown-mes</t>
        </is>
      </c>
      <c r="M175" s="39" t="n">
        <v>2</v>
      </c>
      <c r="N175" s="42" t="inlineStr">
        <is>
          <t>Planned</t>
        </is>
      </c>
      <c r="O175" s="42" t="n"/>
    </row>
    <row r="176" ht="23.25" customHeight="1" s="27">
      <c r="A176" s="39" t="n">
        <v>44</v>
      </c>
      <c r="B176" s="40">
        <f>'Weekly overview'!$B$45+(2)</f>
        <v/>
      </c>
      <c r="C176" s="39" t="inlineStr">
        <is>
          <t>Thu</t>
        </is>
      </c>
      <c r="D176" s="39" t="inlineStr">
        <is>
          <t>Replacing a homegrown MES: the people problem nobody plans for</t>
        </is>
      </c>
      <c r="E176" s="39" t="inlineStr">
        <is>
          <t>Implementation</t>
        </is>
      </c>
      <c r="F176" s="39" t="inlineStr">
        <is>
          <t>Question / poll</t>
        </is>
      </c>
      <c r="G176" s="41" t="inlineStr">
        <is>
          <t>Is your current MES homegrown?</t>
        </is>
      </c>
      <c r="H176" s="39" t="inlineStr">
        <is>
          <t>• Poll: fully / partly / commercial product / no MES yet
• Comment: who maintains it?</t>
        </is>
      </c>
      <c r="I176" s="39" t="inlineStr">
        <is>
          <t>LinkedIn poll (1 week). Reply to comments.</t>
        </is>
      </c>
      <c r="J176" s="39" t="inlineStr">
        <is>
          <t>Poll.</t>
        </is>
      </c>
      <c r="K176" s="39" t="inlineStr">
        <is>
          <t>Story poll, plus a quote graphic in the feed.</t>
        </is>
      </c>
      <c r="L176" s="39" t="inlineStr">
        <is>
          <t>No link (keeps reach up)</t>
        </is>
      </c>
      <c r="M176" s="39" t="n">
        <v>3</v>
      </c>
      <c r="N176" s="42" t="inlineStr">
        <is>
          <t>Planned</t>
        </is>
      </c>
      <c r="O176" s="42" t="n"/>
    </row>
    <row r="177" ht="23.25" customHeight="1" s="27">
      <c r="A177" s="39" t="n">
        <v>44</v>
      </c>
      <c r="B177" s="40">
        <f>'Weekly overview'!$B$45+(3)</f>
        <v/>
      </c>
      <c r="C177" s="39" t="inlineStr">
        <is>
          <t>Fri</t>
        </is>
      </c>
      <c r="D177" s="39" t="inlineStr">
        <is>
          <t>Replacing a homegrown MES: the people problem nobody plans for</t>
        </is>
      </c>
      <c r="E177" s="39" t="inlineStr">
        <is>
          <t>Implementation</t>
        </is>
      </c>
      <c r="F177" s="39" t="inlineStr">
        <is>
          <t>Story (your experience)</t>
        </is>
      </c>
      <c r="G177" s="41" t="inlineStr">
        <is>
          <t>Story prompt: working with the people who built the old system.</t>
        </is>
      </c>
      <c r="H177" s="39" t="inlineStr">
        <is>
          <t>• Your experience, anonymised: how did you bring them along?
• End: one piece of advice for anyone replacing a homegrown system</t>
        </is>
      </c>
      <c r="I177" s="39" t="inlineStr">
        <is>
          <t>Story post, 150–250 words, from your own experience. No link.</t>
        </is>
      </c>
      <c r="J177" s="39" t="inlineStr">
        <is>
          <t>Short thread, 3–4 posts.</t>
        </is>
      </c>
      <c r="K177" s="39" t="inlineStr">
        <is>
          <t>Reel: 30–45 sec talking to camera.</t>
        </is>
      </c>
      <c r="L177" s="39" t="inlineStr">
        <is>
          <t>No link (keeps reach up)</t>
        </is>
      </c>
      <c r="M177" s="39" t="n">
        <v>4</v>
      </c>
      <c r="N177" s="42" t="inlineStr">
        <is>
          <t>Planned</t>
        </is>
      </c>
      <c r="O177" s="42" t="n"/>
    </row>
    <row r="178" ht="34.5" customHeight="1" s="27">
      <c r="A178" s="33" t="n">
        <v>45</v>
      </c>
      <c r="B178" s="34">
        <f>'Weekly overview'!$B$46+(-1)</f>
        <v/>
      </c>
      <c r="C178" s="33" t="inlineStr">
        <is>
          <t>Mon</t>
        </is>
      </c>
      <c r="D178" s="33" t="inlineStr">
        <is>
          <t>What the research says about smart factory ROI</t>
        </is>
      </c>
      <c r="E178" s="33" t="inlineStr">
        <is>
          <t>Smart Factory &amp; AI</t>
        </is>
      </c>
      <c r="F178" s="33" t="inlineStr">
        <is>
          <t>Stat or framework</t>
        </is>
      </c>
      <c r="G178" s="35" t="inlineStr">
        <is>
          <t>92% of large manufacturers believe smart manufacturing will drive competitiveness. 78% put over 20% of their improvement budget into it.</t>
        </is>
      </c>
      <c r="H178" s="33" t="inlineStr">
        <is>
          <t>• Deloitte 2025 Smart Manufacturing Survey
• Belief and budget are there. Execution is the gap</t>
        </is>
      </c>
      <c r="I178" s="33" t="inlineStr">
        <is>
          <t>Image or document carousel. No link.</t>
        </is>
      </c>
      <c r="J178" s="33" t="inlineStr">
        <is>
          <t>Single post with the image.</t>
        </is>
      </c>
      <c r="K178" s="33" t="inlineStr">
        <is>
          <t>Carousel, 5–7 slides.</t>
        </is>
      </c>
      <c r="L178" s="33" t="inlineStr">
        <is>
          <t>No link (keeps reach up)</t>
        </is>
      </c>
      <c r="M178" s="33" t="n">
        <v>1</v>
      </c>
      <c r="N178" s="36" t="inlineStr">
        <is>
          <t>Planned</t>
        </is>
      </c>
      <c r="O178" s="36" t="n"/>
    </row>
    <row r="179" ht="45.75" customHeight="1" s="27">
      <c r="A179" s="33" t="n">
        <v>45</v>
      </c>
      <c r="B179" s="34">
        <f>'Weekly overview'!$B$46+(0)</f>
        <v/>
      </c>
      <c r="C179" s="33" t="inlineStr">
        <is>
          <t>Tue</t>
        </is>
      </c>
      <c r="D179" s="33" t="inlineStr">
        <is>
          <t>What the research says about smart factory ROI</t>
        </is>
      </c>
      <c r="E179" s="33" t="inlineStr">
        <is>
          <t>Smart Factory &amp; AI</t>
        </is>
      </c>
      <c r="F179" s="37" t="inlineStr">
        <is>
          <t>Article post</t>
        </is>
      </c>
      <c r="G179" s="37" t="inlineStr">
        <is>
          <t>What does the research actually say about smart factory ROI?</t>
        </is>
      </c>
      <c r="H179" s="33" t="inlineStr">
        <is>
          <t>• Manufacturers believe in it and they're spending
• The reported returns from Deloitte and others
• Most manufacturers still haven't started
• What the research doesn't tell you</t>
        </is>
      </c>
      <c r="I179" s="33" t="inlineStr">
        <is>
          <t>Text post, 150–250 words. Article link in the FIRST COMMENT.</t>
        </is>
      </c>
      <c r="J179" s="33" t="inlineStr">
        <is>
          <t>Thread, 5–7 posts. Link in the last post.</t>
        </is>
      </c>
      <c r="K179" s="33" t="inlineStr">
        <is>
          <t>Carousel, 7–9 slides. 'Link in bio' on the last slide.</t>
        </is>
      </c>
      <c r="L179" s="38" t="inlineStr">
        <is>
          <t>https://www.mesmatters.com/post/smart-factory-roi-research</t>
        </is>
      </c>
      <c r="M179" s="33" t="n">
        <v>2</v>
      </c>
      <c r="N179" s="36" t="inlineStr">
        <is>
          <t>Planned</t>
        </is>
      </c>
      <c r="O179" s="36" t="n"/>
    </row>
    <row r="180" ht="23.25" customHeight="1" s="27">
      <c r="A180" s="33" t="n">
        <v>45</v>
      </c>
      <c r="B180" s="34">
        <f>'Weekly overview'!$B$46+(2)</f>
        <v/>
      </c>
      <c r="C180" s="33" t="inlineStr">
        <is>
          <t>Thu</t>
        </is>
      </c>
      <c r="D180" s="33" t="inlineStr">
        <is>
          <t>What the research says about smart factory ROI</t>
        </is>
      </c>
      <c r="E180" s="33" t="inlineStr">
        <is>
          <t>Smart Factory &amp; AI</t>
        </is>
      </c>
      <c r="F180" s="33" t="inlineStr">
        <is>
          <t>Contrarian take</t>
        </is>
      </c>
      <c r="G180" s="35" t="inlineStr">
        <is>
          <t>Averages from research won't get your project approved. Your own numbers will.</t>
        </is>
      </c>
      <c r="H180" s="33" t="inlineStr">
        <is>
          <t>• Research is self-reported and skewed to large companies
• Use it for context, then build your own case</t>
        </is>
      </c>
      <c r="I180" s="33" t="inlineStr">
        <is>
          <t>Short text post, 50–120 words. No link.</t>
        </is>
      </c>
      <c r="J180" s="33" t="inlineStr">
        <is>
          <t>Single post.</t>
        </is>
      </c>
      <c r="K180" s="33" t="inlineStr">
        <is>
          <t>Carousel: the take on slide 1, the reasoning over 3–4 slides.</t>
        </is>
      </c>
      <c r="L180" s="33" t="inlineStr">
        <is>
          <t>No link (keeps reach up)</t>
        </is>
      </c>
      <c r="M180" s="33" t="n">
        <v>3</v>
      </c>
      <c r="N180" s="36" t="inlineStr">
        <is>
          <t>Planned</t>
        </is>
      </c>
      <c r="O180" s="36" t="n"/>
    </row>
    <row r="181" ht="23.25" customHeight="1" s="27">
      <c r="A181" s="33" t="n">
        <v>45</v>
      </c>
      <c r="B181" s="34">
        <f>'Weekly overview'!$B$46+(3)</f>
        <v/>
      </c>
      <c r="C181" s="33" t="inlineStr">
        <is>
          <t>Fri</t>
        </is>
      </c>
      <c r="D181" s="33" t="inlineStr">
        <is>
          <t>What the research says about smart factory ROI</t>
        </is>
      </c>
      <c r="E181" s="33" t="inlineStr">
        <is>
          <t>Smart Factory &amp; AI</t>
        </is>
      </c>
      <c r="F181" s="33" t="inlineStr">
        <is>
          <t>Question / poll</t>
        </is>
      </c>
      <c r="G181" s="35" t="inlineStr">
        <is>
          <t>What's your biggest barrier to investing?</t>
        </is>
      </c>
      <c r="H181" s="33" t="inlineStr">
        <is>
          <t>• Poll: proving ROI / skills / budget / leadership priority
• Comment: what would change that?</t>
        </is>
      </c>
      <c r="I181" s="33" t="inlineStr">
        <is>
          <t>LinkedIn poll (1 week). Reply to comments.</t>
        </is>
      </c>
      <c r="J181" s="33" t="inlineStr">
        <is>
          <t>Poll.</t>
        </is>
      </c>
      <c r="K181" s="33" t="inlineStr">
        <is>
          <t>Story poll, plus a quote graphic in the feed.</t>
        </is>
      </c>
      <c r="L181" s="33" t="inlineStr">
        <is>
          <t>No link (keeps reach up)</t>
        </is>
      </c>
      <c r="M181" s="33" t="n">
        <v>4</v>
      </c>
      <c r="N181" s="36" t="inlineStr">
        <is>
          <t>Planned</t>
        </is>
      </c>
      <c r="O181" s="36" t="n"/>
    </row>
    <row r="182" ht="23.25" customHeight="1" s="27">
      <c r="A182" s="39" t="n">
        <v>46</v>
      </c>
      <c r="B182" s="40">
        <f>'Weekly overview'!$B$47+(-1)</f>
        <v/>
      </c>
      <c r="C182" s="39" t="inlineStr">
        <is>
          <t>Mon</t>
        </is>
      </c>
      <c r="D182" s="39" t="inlineStr">
        <is>
          <t>Cloud, on-premises or hybrid: where should your MES run?</t>
        </is>
      </c>
      <c r="E182" s="39" t="inlineStr">
        <is>
          <t>Foundations</t>
        </is>
      </c>
      <c r="F182" s="39" t="inlineStr">
        <is>
          <t>Question / poll</t>
        </is>
      </c>
      <c r="G182" s="41" t="inlineStr">
        <is>
          <t>Where does your MES run?</t>
        </is>
      </c>
      <c r="H182" s="39" t="inlineStr">
        <is>
          <t>• Poll: on-premises / cloud / hybrid / no MES yet
• Comment: would you choose the same again?</t>
        </is>
      </c>
      <c r="I182" s="39" t="inlineStr">
        <is>
          <t>LinkedIn poll (1 week). Reply to comments.</t>
        </is>
      </c>
      <c r="J182" s="39" t="inlineStr">
        <is>
          <t>Poll.</t>
        </is>
      </c>
      <c r="K182" s="39" t="inlineStr">
        <is>
          <t>Story poll, plus a quote graphic in the feed.</t>
        </is>
      </c>
      <c r="L182" s="39" t="inlineStr">
        <is>
          <t>No link (keeps reach up)</t>
        </is>
      </c>
      <c r="M182" s="39" t="n">
        <v>1</v>
      </c>
      <c r="N182" s="42" t="inlineStr">
        <is>
          <t>Planned</t>
        </is>
      </c>
      <c r="O182" s="42" t="n"/>
    </row>
    <row r="183" ht="45.75" customHeight="1" s="27">
      <c r="A183" s="39" t="n">
        <v>46</v>
      </c>
      <c r="B183" s="40">
        <f>'Weekly overview'!$B$47+(0)</f>
        <v/>
      </c>
      <c r="C183" s="39" t="inlineStr">
        <is>
          <t>Tue</t>
        </is>
      </c>
      <c r="D183" s="39" t="inlineStr">
        <is>
          <t>Cloud, on-premises or hybrid: where should your MES run?</t>
        </is>
      </c>
      <c r="E183" s="39" t="inlineStr">
        <is>
          <t>Foundations</t>
        </is>
      </c>
      <c r="F183" s="43" t="inlineStr">
        <is>
          <t>Article post</t>
        </is>
      </c>
      <c r="G183" s="43" t="inlineStr">
        <is>
          <t>Cloud, on-premises or hybrid: where should your MES run?</t>
        </is>
      </c>
      <c r="H183" s="39" t="inlineStr">
        <is>
          <t>• The shopfloor depends on it 24x7, so this decision is different
• Trade-offs of each option
• Questions to ask before you decide
• Why the licensing model matters too</t>
        </is>
      </c>
      <c r="I183" s="39" t="inlineStr">
        <is>
          <t>Text post, 150–250 words. Article link in the FIRST COMMENT.</t>
        </is>
      </c>
      <c r="J183" s="39" t="inlineStr">
        <is>
          <t>Thread, 5–7 posts. Link in the last post.</t>
        </is>
      </c>
      <c r="K183" s="39" t="inlineStr">
        <is>
          <t>Carousel, 7–9 slides. 'Link in bio' on the last slide.</t>
        </is>
      </c>
      <c r="L183" s="44" t="inlineStr">
        <is>
          <t>https://www.mesmatters.com/post/cloud-vs-on-premises-mes</t>
        </is>
      </c>
      <c r="M183" s="39" t="n">
        <v>2</v>
      </c>
      <c r="N183" s="42" t="inlineStr">
        <is>
          <t>Planned</t>
        </is>
      </c>
      <c r="O183" s="42" t="n"/>
    </row>
    <row r="184" ht="23.25" customHeight="1" s="27">
      <c r="A184" s="39" t="n">
        <v>46</v>
      </c>
      <c r="B184" s="40">
        <f>'Weekly overview'!$B$47+(2)</f>
        <v/>
      </c>
      <c r="C184" s="39" t="inlineStr">
        <is>
          <t>Thu</t>
        </is>
      </c>
      <c r="D184" s="39" t="inlineStr">
        <is>
          <t>Cloud, on-premises or hybrid: where should your MES run?</t>
        </is>
      </c>
      <c r="E184" s="39" t="inlineStr">
        <is>
          <t>Foundations</t>
        </is>
      </c>
      <c r="F184" s="39" t="inlineStr">
        <is>
          <t>Contrarian take</t>
        </is>
      </c>
      <c r="G184" s="41" t="inlineStr">
        <is>
          <t>'Cloud-first' is a fine strategy until the internet goes down at 3am on a Sunday shift.</t>
        </is>
      </c>
      <c r="H184" s="39" t="inlineStr">
        <is>
          <t>• Plan for edge resilience whatever you choose
• Ask vendors what happens offline</t>
        </is>
      </c>
      <c r="I184" s="39" t="inlineStr">
        <is>
          <t>Short text post, 50–120 words. No link.</t>
        </is>
      </c>
      <c r="J184" s="39" t="inlineStr">
        <is>
          <t>Single post.</t>
        </is>
      </c>
      <c r="K184" s="39" t="inlineStr">
        <is>
          <t>Carousel: the take on slide 1, the reasoning over 3–4 slides.</t>
        </is>
      </c>
      <c r="L184" s="39" t="inlineStr">
        <is>
          <t>No link (keeps reach up)</t>
        </is>
      </c>
      <c r="M184" s="39" t="n">
        <v>3</v>
      </c>
      <c r="N184" s="42" t="inlineStr">
        <is>
          <t>Planned</t>
        </is>
      </c>
      <c r="O184" s="42" t="n"/>
    </row>
    <row r="185" ht="45.75" customHeight="1" s="27">
      <c r="A185" s="39" t="n">
        <v>46</v>
      </c>
      <c r="B185" s="40">
        <f>'Weekly overview'!$B$47+(3)</f>
        <v/>
      </c>
      <c r="C185" s="39" t="inlineStr">
        <is>
          <t>Fri</t>
        </is>
      </c>
      <c r="D185" s="39" t="inlineStr">
        <is>
          <t>Cloud, on-premises or hybrid: where should your MES run?</t>
        </is>
      </c>
      <c r="E185" s="39" t="inlineStr">
        <is>
          <t>Foundations</t>
        </is>
      </c>
      <c r="F185" s="39" t="inlineStr">
        <is>
          <t>Checklist</t>
        </is>
      </c>
      <c r="G185" s="41" t="inlineStr">
        <is>
          <t>Four questions before choosing cloud for MES.</t>
        </is>
      </c>
      <c r="H185" s="39" t="inlineStr">
        <is>
          <t>• What runs if the connection drops?
• Where is data stored?
• How are upgrades scheduled?
• What does it cost over 10 years? Carousel</t>
        </is>
      </c>
      <c r="I185" s="39" t="inlineStr">
        <is>
          <t>Document carousel (PDF), one item per page.</t>
        </is>
      </c>
      <c r="J185" s="39" t="inlineStr">
        <is>
          <t>Thread, one item per post.</t>
        </is>
      </c>
      <c r="K185" s="39" t="inlineStr">
        <is>
          <t>Carousel, one item per slide.</t>
        </is>
      </c>
      <c r="L185" s="39" t="inlineStr">
        <is>
          <t>No link (keeps reach up)</t>
        </is>
      </c>
      <c r="M185" s="39" t="n">
        <v>4</v>
      </c>
      <c r="N185" s="42" t="inlineStr">
        <is>
          <t>Planned</t>
        </is>
      </c>
      <c r="O185" s="42" t="n"/>
    </row>
    <row r="186" ht="34.5" customHeight="1" s="27">
      <c r="A186" s="33" t="n">
        <v>47</v>
      </c>
      <c r="B186" s="34">
        <f>'Weekly overview'!$B$48+(-1)</f>
        <v/>
      </c>
      <c r="C186" s="33" t="inlineStr">
        <is>
          <t>Mon</t>
        </is>
      </c>
      <c r="D186" s="33" t="inlineStr">
        <is>
          <t>How long does an MES implementation take?</t>
        </is>
      </c>
      <c r="E186" s="33" t="inlineStr">
        <is>
          <t>Implementation</t>
        </is>
      </c>
      <c r="F186" s="33" t="inlineStr">
        <is>
          <t>Story (your experience)</t>
        </is>
      </c>
      <c r="G186" s="35" t="inlineStr">
        <is>
          <t>Story prompt: the fastest (or slowest) go-live you've been part of.</t>
        </is>
      </c>
      <c r="H186" s="33" t="inlineStr">
        <is>
          <t>• Your experience, anonymised
• What made the difference?. End: what would you tell a project sponsor?</t>
        </is>
      </c>
      <c r="I186" s="33" t="inlineStr">
        <is>
          <t>Story post, 150–250 words, from your own experience. No link.</t>
        </is>
      </c>
      <c r="J186" s="33" t="inlineStr">
        <is>
          <t>Short thread, 3–4 posts.</t>
        </is>
      </c>
      <c r="K186" s="33" t="inlineStr">
        <is>
          <t>Reel: 30–45 sec talking to camera.</t>
        </is>
      </c>
      <c r="L186" s="33" t="inlineStr">
        <is>
          <t>No link (keeps reach up)</t>
        </is>
      </c>
      <c r="M186" s="33" t="n">
        <v>1</v>
      </c>
      <c r="N186" s="36" t="inlineStr">
        <is>
          <t>Planned</t>
        </is>
      </c>
      <c r="O186" s="36" t="n"/>
    </row>
    <row r="187" ht="45.75" customHeight="1" s="27">
      <c r="A187" s="33" t="n">
        <v>47</v>
      </c>
      <c r="B187" s="34">
        <f>'Weekly overview'!$B$48+(0)</f>
        <v/>
      </c>
      <c r="C187" s="33" t="inlineStr">
        <is>
          <t>Tue</t>
        </is>
      </c>
      <c r="D187" s="33" t="inlineStr">
        <is>
          <t>How long does an MES implementation take?</t>
        </is>
      </c>
      <c r="E187" s="33" t="inlineStr">
        <is>
          <t>Implementation</t>
        </is>
      </c>
      <c r="F187" s="37" t="inlineStr">
        <is>
          <t>Article post</t>
        </is>
      </c>
      <c r="G187" s="37" t="inlineStr">
        <is>
          <t>How long does an MES implementation really take?</t>
        </is>
      </c>
      <c r="H187" s="33" t="inlineStr">
        <is>
          <t>• The typical range for a first factory
• Why it isn't just a software install
• How one project went live in four months
• The biggest variable is you</t>
        </is>
      </c>
      <c r="I187" s="33" t="inlineStr">
        <is>
          <t>Text post, 150–250 words. Article link in the FIRST COMMENT.</t>
        </is>
      </c>
      <c r="J187" s="33" t="inlineStr">
        <is>
          <t>Thread, 5–7 posts. Link in the last post.</t>
        </is>
      </c>
      <c r="K187" s="33" t="inlineStr">
        <is>
          <t>Carousel, 7–9 slides. 'Link in bio' on the last slide.</t>
        </is>
      </c>
      <c r="L187" s="38" t="inlineStr">
        <is>
          <t>https://www.mesmatters.com/post/how-long-does-mes-implementation-take</t>
        </is>
      </c>
      <c r="M187" s="33" t="n">
        <v>2</v>
      </c>
      <c r="N187" s="36" t="inlineStr">
        <is>
          <t>Planned</t>
        </is>
      </c>
      <c r="O187" s="36" t="n"/>
    </row>
    <row r="188" ht="23.25" customHeight="1" s="27">
      <c r="A188" s="33" t="n">
        <v>47</v>
      </c>
      <c r="B188" s="34">
        <f>'Weekly overview'!$B$48+(2)</f>
        <v/>
      </c>
      <c r="C188" s="33" t="inlineStr">
        <is>
          <t>Thu</t>
        </is>
      </c>
      <c r="D188" s="33" t="inlineStr">
        <is>
          <t>How long does an MES implementation take?</t>
        </is>
      </c>
      <c r="E188" s="33" t="inlineStr">
        <is>
          <t>Implementation</t>
        </is>
      </c>
      <c r="F188" s="33" t="inlineStr">
        <is>
          <t>Question / poll</t>
        </is>
      </c>
      <c r="G188" s="35" t="inlineStr">
        <is>
          <t>How long did your first MES go-live take?</t>
        </is>
      </c>
      <c r="H188" s="33" t="inlineStr">
        <is>
          <t>• Poll: under 6 months / 6–12 months / over a year / still going
• Comment: what slowed it down?</t>
        </is>
      </c>
      <c r="I188" s="33" t="inlineStr">
        <is>
          <t>LinkedIn poll (1 week). Reply to comments.</t>
        </is>
      </c>
      <c r="J188" s="33" t="inlineStr">
        <is>
          <t>Poll.</t>
        </is>
      </c>
      <c r="K188" s="33" t="inlineStr">
        <is>
          <t>Story poll, plus a quote graphic in the feed.</t>
        </is>
      </c>
      <c r="L188" s="33" t="inlineStr">
        <is>
          <t>No link (keeps reach up)</t>
        </is>
      </c>
      <c r="M188" s="33" t="n">
        <v>3</v>
      </c>
      <c r="N188" s="36" t="inlineStr">
        <is>
          <t>Planned</t>
        </is>
      </c>
      <c r="O188" s="36" t="n"/>
    </row>
    <row r="189" ht="23.25" customHeight="1" s="27">
      <c r="A189" s="33" t="n">
        <v>47</v>
      </c>
      <c r="B189" s="34">
        <f>'Weekly overview'!$B$48+(3)</f>
        <v/>
      </c>
      <c r="C189" s="33" t="inlineStr">
        <is>
          <t>Fri</t>
        </is>
      </c>
      <c r="D189" s="33" t="inlineStr">
        <is>
          <t>How long does an MES implementation take?</t>
        </is>
      </c>
      <c r="E189" s="33" t="inlineStr">
        <is>
          <t>Implementation</t>
        </is>
      </c>
      <c r="F189" s="33" t="inlineStr">
        <is>
          <t>Contrarian take</t>
        </is>
      </c>
      <c r="G189" s="35" t="inlineStr">
        <is>
          <t>Projects don't run long because of software. They run long because of decisions nobody makes.</t>
        </is>
      </c>
      <c r="H189" s="33" t="inlineStr">
        <is>
          <t>• Empower a team that can decide
• Scope discipline beats any methodology</t>
        </is>
      </c>
      <c r="I189" s="33" t="inlineStr">
        <is>
          <t>Short text post, 50–120 words. No link.</t>
        </is>
      </c>
      <c r="J189" s="33" t="inlineStr">
        <is>
          <t>Single post.</t>
        </is>
      </c>
      <c r="K189" s="33" t="inlineStr">
        <is>
          <t>Carousel: the take on slide 1, the reasoning over 3–4 slides.</t>
        </is>
      </c>
      <c r="L189" s="33" t="inlineStr">
        <is>
          <t>No link (keeps reach up)</t>
        </is>
      </c>
      <c r="M189" s="33" t="n">
        <v>4</v>
      </c>
      <c r="N189" s="36" t="inlineStr">
        <is>
          <t>Planned</t>
        </is>
      </c>
      <c r="O189" s="36" t="n"/>
    </row>
    <row r="190" ht="23.25" customHeight="1" s="27">
      <c r="A190" s="39" t="n">
        <v>48</v>
      </c>
      <c r="B190" s="40">
        <f>'Weekly overview'!$B$49+(-1)</f>
        <v/>
      </c>
      <c r="C190" s="39" t="inlineStr">
        <is>
          <t>Mon</t>
        </is>
      </c>
      <c r="D190" s="39" t="inlineStr">
        <is>
          <t>Going paperless: start small, but start with the end in mind</t>
        </is>
      </c>
      <c r="E190" s="39" t="inlineStr">
        <is>
          <t>Implementation</t>
        </is>
      </c>
      <c r="F190" s="39" t="inlineStr">
        <is>
          <t>Contrarian take</t>
        </is>
      </c>
      <c r="G190" s="41" t="inlineStr">
        <is>
          <t>Digitising a paper form without changing the process just gives you a slower form.</t>
        </is>
      </c>
      <c r="H190" s="39" t="inlineStr">
        <is>
          <t>• Ask why each field exists
• Let the system fill in what it already knows</t>
        </is>
      </c>
      <c r="I190" s="39" t="inlineStr">
        <is>
          <t>Short text post, 50–120 words. No link.</t>
        </is>
      </c>
      <c r="J190" s="39" t="inlineStr">
        <is>
          <t>Single post.</t>
        </is>
      </c>
      <c r="K190" s="39" t="inlineStr">
        <is>
          <t>Carousel: the take on slide 1, the reasoning over 3–4 slides.</t>
        </is>
      </c>
      <c r="L190" s="39" t="inlineStr">
        <is>
          <t>No link (keeps reach up)</t>
        </is>
      </c>
      <c r="M190" s="39" t="n">
        <v>1</v>
      </c>
      <c r="N190" s="42" t="inlineStr">
        <is>
          <t>Planned</t>
        </is>
      </c>
      <c r="O190" s="42" t="n"/>
    </row>
    <row r="191" ht="45.75" customHeight="1" s="27">
      <c r="A191" s="39" t="n">
        <v>48</v>
      </c>
      <c r="B191" s="40">
        <f>'Weekly overview'!$B$49+(0)</f>
        <v/>
      </c>
      <c r="C191" s="39" t="inlineStr">
        <is>
          <t>Tue</t>
        </is>
      </c>
      <c r="D191" s="39" t="inlineStr">
        <is>
          <t>Going paperless: start small, but start with the end in mind</t>
        </is>
      </c>
      <c r="E191" s="39" t="inlineStr">
        <is>
          <t>Implementation</t>
        </is>
      </c>
      <c r="F191" s="43" t="inlineStr">
        <is>
          <t>Article post</t>
        </is>
      </c>
      <c r="G191" s="43" t="inlineStr">
        <is>
          <t>If you can't do everything at once, at least do something. Start by removing paper.</t>
        </is>
      </c>
      <c r="H191" s="39" t="inlineStr">
        <is>
          <t>• Paper is the enemy of progress
• What you gain straight away
• Where to start
• The one mistake to avoid: copying the paper</t>
        </is>
      </c>
      <c r="I191" s="39" t="inlineStr">
        <is>
          <t>Text post, 150–250 words. Article link in the FIRST COMMENT.</t>
        </is>
      </c>
      <c r="J191" s="39" t="inlineStr">
        <is>
          <t>Thread, 5–7 posts. Link in the last post.</t>
        </is>
      </c>
      <c r="K191" s="39" t="inlineStr">
        <is>
          <t>Carousel, 7–9 slides. 'Link in bio' on the last slide.</t>
        </is>
      </c>
      <c r="L191" s="44" t="inlineStr">
        <is>
          <t>https://www.mesmatters.com/post/paperless-manufacturing</t>
        </is>
      </c>
      <c r="M191" s="39" t="n">
        <v>2</v>
      </c>
      <c r="N191" s="42" t="inlineStr">
        <is>
          <t>Planned</t>
        </is>
      </c>
      <c r="O191" s="42" t="n"/>
    </row>
    <row r="192" ht="23.25" customHeight="1" s="27">
      <c r="A192" s="39" t="n">
        <v>48</v>
      </c>
      <c r="B192" s="40">
        <f>'Weekly overview'!$B$49+(2)</f>
        <v/>
      </c>
      <c r="C192" s="39" t="inlineStr">
        <is>
          <t>Thu</t>
        </is>
      </c>
      <c r="D192" s="39" t="inlineStr">
        <is>
          <t>Going paperless: start small, but start with the end in mind</t>
        </is>
      </c>
      <c r="E192" s="39" t="inlineStr">
        <is>
          <t>Implementation</t>
        </is>
      </c>
      <c r="F192" s="39" t="inlineStr">
        <is>
          <t>Question / poll</t>
        </is>
      </c>
      <c r="G192" s="41" t="inlineStr">
        <is>
          <t>How much paper is still on your shopfloor?</t>
        </is>
      </c>
      <c r="H192" s="39" t="inlineStr">
        <is>
          <t>• Poll: none / a little / lots / we run on it
• Comment: what's the hardest to remove?</t>
        </is>
      </c>
      <c r="I192" s="39" t="inlineStr">
        <is>
          <t>LinkedIn poll (1 week). Reply to comments.</t>
        </is>
      </c>
      <c r="J192" s="39" t="inlineStr">
        <is>
          <t>Poll.</t>
        </is>
      </c>
      <c r="K192" s="39" t="inlineStr">
        <is>
          <t>Story poll, plus a quote graphic in the feed.</t>
        </is>
      </c>
      <c r="L192" s="39" t="inlineStr">
        <is>
          <t>No link (keeps reach up)</t>
        </is>
      </c>
      <c r="M192" s="39" t="n">
        <v>3</v>
      </c>
      <c r="N192" s="42" t="inlineStr">
        <is>
          <t>Planned</t>
        </is>
      </c>
      <c r="O192" s="42" t="n"/>
    </row>
    <row r="193" ht="45.75" customHeight="1" s="27">
      <c r="A193" s="39" t="n">
        <v>48</v>
      </c>
      <c r="B193" s="40">
        <f>'Weekly overview'!$B$49+(3)</f>
        <v/>
      </c>
      <c r="C193" s="39" t="inlineStr">
        <is>
          <t>Fri</t>
        </is>
      </c>
      <c r="D193" s="39" t="inlineStr">
        <is>
          <t>Going paperless: start small, but start with the end in mind</t>
        </is>
      </c>
      <c r="E193" s="39" t="inlineStr">
        <is>
          <t>Implementation</t>
        </is>
      </c>
      <c r="F193" s="39" t="inlineStr">
        <is>
          <t>Checklist</t>
        </is>
      </c>
      <c r="G193" s="41" t="inlineStr">
        <is>
          <t>Four paper processes to digitise first.</t>
        </is>
      </c>
      <c r="H193" s="39" t="inlineStr">
        <is>
          <t>• Production reporting
• Quality checklists
• Shift handover
• Downtime logs. Carousel</t>
        </is>
      </c>
      <c r="I193" s="39" t="inlineStr">
        <is>
          <t>Document carousel (PDF), one item per page.</t>
        </is>
      </c>
      <c r="J193" s="39" t="inlineStr">
        <is>
          <t>Thread, one item per post.</t>
        </is>
      </c>
      <c r="K193" s="39" t="inlineStr">
        <is>
          <t>Carousel, one item per slide.</t>
        </is>
      </c>
      <c r="L193" s="39" t="inlineStr">
        <is>
          <t>No link (keeps reach up)</t>
        </is>
      </c>
      <c r="M193" s="39" t="n">
        <v>4</v>
      </c>
      <c r="N193" s="42" t="inlineStr">
        <is>
          <t>Planned</t>
        </is>
      </c>
      <c r="O193" s="42" t="n"/>
    </row>
    <row r="194" ht="23.25" customHeight="1" s="27">
      <c r="A194" s="33" t="n">
        <v>49</v>
      </c>
      <c r="B194" s="34">
        <f>'Weekly overview'!$B$50+(-1)</f>
        <v/>
      </c>
      <c r="C194" s="33" t="inlineStr">
        <is>
          <t>Mon</t>
        </is>
      </c>
      <c r="D194" s="33" t="inlineStr">
        <is>
          <t>Discrete, process, batch or mixed-mode: why it changes your MES choice</t>
        </is>
      </c>
      <c r="E194" s="33" t="inlineStr">
        <is>
          <t>Foundations</t>
        </is>
      </c>
      <c r="F194" s="33" t="inlineStr">
        <is>
          <t>Stat or framework</t>
        </is>
      </c>
      <c r="G194" s="35" t="inlineStr">
        <is>
          <t>Discrete vs process vs batch vs mixed-mode, one line each.</t>
        </is>
      </c>
      <c r="H194" s="33" t="inlineStr">
        <is>
          <t>• Graphic comparing units, traceability and KPIs
• Carousel</t>
        </is>
      </c>
      <c r="I194" s="33" t="inlineStr">
        <is>
          <t>Image or document carousel. No link.</t>
        </is>
      </c>
      <c r="J194" s="33" t="inlineStr">
        <is>
          <t>Single post with the image.</t>
        </is>
      </c>
      <c r="K194" s="33" t="inlineStr">
        <is>
          <t>Carousel, 5–7 slides.</t>
        </is>
      </c>
      <c r="L194" s="33" t="inlineStr">
        <is>
          <t>No link (keeps reach up)</t>
        </is>
      </c>
      <c r="M194" s="33" t="n">
        <v>1</v>
      </c>
      <c r="N194" s="36" t="inlineStr">
        <is>
          <t>Planned</t>
        </is>
      </c>
      <c r="O194" s="36" t="n"/>
    </row>
    <row r="195" ht="45.75" customHeight="1" s="27">
      <c r="A195" s="33" t="n">
        <v>49</v>
      </c>
      <c r="B195" s="34">
        <f>'Weekly overview'!$B$50+(0)</f>
        <v/>
      </c>
      <c r="C195" s="33" t="inlineStr">
        <is>
          <t>Tue</t>
        </is>
      </c>
      <c r="D195" s="33" t="inlineStr">
        <is>
          <t>Discrete, process, batch or mixed-mode: why it changes your MES choice</t>
        </is>
      </c>
      <c r="E195" s="33" t="inlineStr">
        <is>
          <t>Foundations</t>
        </is>
      </c>
      <c r="F195" s="37" t="inlineStr">
        <is>
          <t>Article post</t>
        </is>
      </c>
      <c r="G195" s="37" t="inlineStr">
        <is>
          <t>Discrete, process, batch or mixed-mode: the type of manufacturing changes your MES choice.</t>
        </is>
      </c>
      <c r="H195" s="33" t="inlineStr">
        <is>
          <t>• How each type differs in data and KPIs
• Why many factories are actually mixed-mode
• What it means for operator screens
• What to ask a vendor</t>
        </is>
      </c>
      <c r="I195" s="33" t="inlineStr">
        <is>
          <t>Text post, 150–250 words. Article link in the FIRST COMMENT.</t>
        </is>
      </c>
      <c r="J195" s="33" t="inlineStr">
        <is>
          <t>Thread, 5–7 posts. Link in the last post.</t>
        </is>
      </c>
      <c r="K195" s="33" t="inlineStr">
        <is>
          <t>Carousel, 7–9 slides. 'Link in bio' on the last slide.</t>
        </is>
      </c>
      <c r="L195" s="38" t="inlineStr">
        <is>
          <t>https://www.mesmatters.com/post/discrete-vs-process-manufacturing</t>
        </is>
      </c>
      <c r="M195" s="33" t="n">
        <v>2</v>
      </c>
      <c r="N195" s="36" t="inlineStr">
        <is>
          <t>Planned</t>
        </is>
      </c>
      <c r="O195" s="36" t="n"/>
    </row>
    <row r="196" ht="23.25" customHeight="1" s="27">
      <c r="A196" s="33" t="n">
        <v>49</v>
      </c>
      <c r="B196" s="34">
        <f>'Weekly overview'!$B$50+(2)</f>
        <v/>
      </c>
      <c r="C196" s="33" t="inlineStr">
        <is>
          <t>Thu</t>
        </is>
      </c>
      <c r="D196" s="33" t="inlineStr">
        <is>
          <t>Discrete, process, batch or mixed-mode: why it changes your MES choice</t>
        </is>
      </c>
      <c r="E196" s="33" t="inlineStr">
        <is>
          <t>Foundations</t>
        </is>
      </c>
      <c r="F196" s="33" t="inlineStr">
        <is>
          <t>Question / poll</t>
        </is>
      </c>
      <c r="G196" s="35" t="inlineStr">
        <is>
          <t>What type of manufacturing do you run?</t>
        </is>
      </c>
      <c r="H196" s="33" t="inlineStr">
        <is>
          <t>• Poll: discrete / process / batch / mixed-mode
• Comment: does your MES handle it well?</t>
        </is>
      </c>
      <c r="I196" s="33" t="inlineStr">
        <is>
          <t>LinkedIn poll (1 week). Reply to comments.</t>
        </is>
      </c>
      <c r="J196" s="33" t="inlineStr">
        <is>
          <t>Poll.</t>
        </is>
      </c>
      <c r="K196" s="33" t="inlineStr">
        <is>
          <t>Story poll, plus a quote graphic in the feed.</t>
        </is>
      </c>
      <c r="L196" s="33" t="inlineStr">
        <is>
          <t>No link (keeps reach up)</t>
        </is>
      </c>
      <c r="M196" s="33" t="n">
        <v>3</v>
      </c>
      <c r="N196" s="36" t="inlineStr">
        <is>
          <t>Planned</t>
        </is>
      </c>
      <c r="O196" s="36" t="n"/>
    </row>
    <row r="197" ht="23.25" customHeight="1" s="27">
      <c r="A197" s="33" t="n">
        <v>49</v>
      </c>
      <c r="B197" s="34">
        <f>'Weekly overview'!$B$50+(3)</f>
        <v/>
      </c>
      <c r="C197" s="33" t="inlineStr">
        <is>
          <t>Fri</t>
        </is>
      </c>
      <c r="D197" s="33" t="inlineStr">
        <is>
          <t>Discrete, process, batch or mixed-mode: why it changes your MES choice</t>
        </is>
      </c>
      <c r="E197" s="33" t="inlineStr">
        <is>
          <t>Foundations</t>
        </is>
      </c>
      <c r="F197" s="33" t="inlineStr">
        <is>
          <t>Contrarian take</t>
        </is>
      </c>
      <c r="G197" s="35" t="inlineStr">
        <is>
          <t>An MES built for discrete and stretched into process will show you its seams in unit-of-measure handling.</t>
        </is>
      </c>
      <c r="H197" s="33" t="inlineStr">
        <is>
          <t>• Ask for a demo with your products and units
• Recipes and yields are where it shows</t>
        </is>
      </c>
      <c r="I197" s="33" t="inlineStr">
        <is>
          <t>Short text post, 50–120 words. No link.</t>
        </is>
      </c>
      <c r="J197" s="33" t="inlineStr">
        <is>
          <t>Single post.</t>
        </is>
      </c>
      <c r="K197" s="33" t="inlineStr">
        <is>
          <t>Carousel: the take on slide 1, the reasoning over 3–4 slides.</t>
        </is>
      </c>
      <c r="L197" s="33" t="inlineStr">
        <is>
          <t>No link (keeps reach up)</t>
        </is>
      </c>
      <c r="M197" s="33" t="n">
        <v>4</v>
      </c>
      <c r="N197" s="36" t="inlineStr">
        <is>
          <t>Planned</t>
        </is>
      </c>
      <c r="O197" s="36" t="n"/>
    </row>
    <row r="198" ht="23.25" customHeight="1" s="27">
      <c r="A198" s="39" t="n">
        <v>50</v>
      </c>
      <c r="B198" s="40">
        <f>'Weekly overview'!$B$51+(-1)</f>
        <v/>
      </c>
      <c r="C198" s="39" t="inlineStr">
        <is>
          <t>Mon</t>
        </is>
      </c>
      <c r="D198" s="39" t="inlineStr">
        <is>
          <t>MES functionality: energy</t>
        </is>
      </c>
      <c r="E198" s="39" t="inlineStr">
        <is>
          <t>Foundations</t>
        </is>
      </c>
      <c r="F198" s="39" t="inlineStr">
        <is>
          <t>Contrarian take</t>
        </is>
      </c>
      <c r="G198" s="41" t="inlineStr">
        <is>
          <t>Machines left running between orders are one of the easiest energy savings you'll ever find.</t>
        </is>
      </c>
      <c r="H198" s="39" t="inlineStr">
        <is>
          <t>• You only see it when energy is linked to production status
• Idle time is visible once you look</t>
        </is>
      </c>
      <c r="I198" s="39" t="inlineStr">
        <is>
          <t>Short text post, 50–120 words. No link.</t>
        </is>
      </c>
      <c r="J198" s="39" t="inlineStr">
        <is>
          <t>Single post.</t>
        </is>
      </c>
      <c r="K198" s="39" t="inlineStr">
        <is>
          <t>Carousel: the take on slide 1, the reasoning over 3–4 slides.</t>
        </is>
      </c>
      <c r="L198" s="39" t="inlineStr">
        <is>
          <t>No link (keeps reach up)</t>
        </is>
      </c>
      <c r="M198" s="39" t="n">
        <v>1</v>
      </c>
      <c r="N198" s="42" t="inlineStr">
        <is>
          <t>Planned</t>
        </is>
      </c>
      <c r="O198" s="42" t="n"/>
    </row>
    <row r="199" ht="45.75" customHeight="1" s="27">
      <c r="A199" s="39" t="n">
        <v>50</v>
      </c>
      <c r="B199" s="40">
        <f>'Weekly overview'!$B$51+(0)</f>
        <v/>
      </c>
      <c r="C199" s="39" t="inlineStr">
        <is>
          <t>Tue</t>
        </is>
      </c>
      <c r="D199" s="39" t="inlineStr">
        <is>
          <t>MES functionality: energy</t>
        </is>
      </c>
      <c r="E199" s="39" t="inlineStr">
        <is>
          <t>Foundations</t>
        </is>
      </c>
      <c r="F199" s="43" t="inlineStr">
        <is>
          <t>Article post</t>
        </is>
      </c>
      <c r="G199" s="43" t="inlineStr">
        <is>
          <t>Most factories can't see energy below the site meter.</t>
        </is>
      </c>
      <c r="H199" s="39" t="inlineStr">
        <is>
          <t>• Energy is a cost and a sustainability problem
• MES/MOM attributes energy to machines, orders and products
• The usual quick wins
• Start with the biggest consumers</t>
        </is>
      </c>
      <c r="I199" s="39" t="inlineStr">
        <is>
          <t>Text post, 150–250 words. Article link in the FIRST COMMENT.</t>
        </is>
      </c>
      <c r="J199" s="39" t="inlineStr">
        <is>
          <t>Thread, 5–7 posts. Link in the last post.</t>
        </is>
      </c>
      <c r="K199" s="39" t="inlineStr">
        <is>
          <t>Carousel, 7–9 slides. 'Link in bio' on the last slide.</t>
        </is>
      </c>
      <c r="L199" s="44" t="inlineStr">
        <is>
          <t>https://www.mesmatters.com/post/mes-functionality-energy</t>
        </is>
      </c>
      <c r="M199" s="39" t="n">
        <v>2</v>
      </c>
      <c r="N199" s="42" t="inlineStr">
        <is>
          <t>Planned</t>
        </is>
      </c>
      <c r="O199" s="42" t="n"/>
    </row>
    <row r="200" ht="23.25" customHeight="1" s="27">
      <c r="A200" s="39" t="n">
        <v>50</v>
      </c>
      <c r="B200" s="40">
        <f>'Weekly overview'!$B$51+(2)</f>
        <v/>
      </c>
      <c r="C200" s="39" t="inlineStr">
        <is>
          <t>Thu</t>
        </is>
      </c>
      <c r="D200" s="39" t="inlineStr">
        <is>
          <t>MES functionality: energy</t>
        </is>
      </c>
      <c r="E200" s="39" t="inlineStr">
        <is>
          <t>Foundations</t>
        </is>
      </c>
      <c r="F200" s="39" t="inlineStr">
        <is>
          <t>Question / poll</t>
        </is>
      </c>
      <c r="G200" s="41" t="inlineStr">
        <is>
          <t>Do you know your energy cost per unit?</t>
        </is>
      </c>
      <c r="H200" s="39" t="inlineStr">
        <is>
          <t>• Poll: by product / by line / site only / no idea
• Comment: what would you do with it?</t>
        </is>
      </c>
      <c r="I200" s="39" t="inlineStr">
        <is>
          <t>LinkedIn poll (1 week). Reply to comments.</t>
        </is>
      </c>
      <c r="J200" s="39" t="inlineStr">
        <is>
          <t>Poll.</t>
        </is>
      </c>
      <c r="K200" s="39" t="inlineStr">
        <is>
          <t>Story poll, plus a quote graphic in the feed.</t>
        </is>
      </c>
      <c r="L200" s="39" t="inlineStr">
        <is>
          <t>No link (keeps reach up)</t>
        </is>
      </c>
      <c r="M200" s="39" t="n">
        <v>3</v>
      </c>
      <c r="N200" s="42" t="inlineStr">
        <is>
          <t>Planned</t>
        </is>
      </c>
      <c r="O200" s="42" t="n"/>
    </row>
    <row r="201" ht="23.25" customHeight="1" s="27">
      <c r="A201" s="39" t="n">
        <v>50</v>
      </c>
      <c r="B201" s="40">
        <f>'Weekly overview'!$B$51+(3)</f>
        <v/>
      </c>
      <c r="C201" s="39" t="inlineStr">
        <is>
          <t>Fri</t>
        </is>
      </c>
      <c r="D201" s="39" t="inlineStr">
        <is>
          <t>MES functionality: energy</t>
        </is>
      </c>
      <c r="E201" s="39" t="inlineStr">
        <is>
          <t>Foundations</t>
        </is>
      </c>
      <c r="F201" s="39" t="inlineStr">
        <is>
          <t>Stat or framework</t>
        </is>
      </c>
      <c r="G201" s="41" t="inlineStr">
        <is>
          <t>Site meter → line → machine → order → product.</t>
        </is>
      </c>
      <c r="H201" s="39" t="inlineStr">
        <is>
          <t>• Graphic: how energy gets attributed
• Carousel</t>
        </is>
      </c>
      <c r="I201" s="39" t="inlineStr">
        <is>
          <t>Image or document carousel. No link.</t>
        </is>
      </c>
      <c r="J201" s="39" t="inlineStr">
        <is>
          <t>Single post with the image.</t>
        </is>
      </c>
      <c r="K201" s="39" t="inlineStr">
        <is>
          <t>Carousel, 5–7 slides.</t>
        </is>
      </c>
      <c r="L201" s="39" t="inlineStr">
        <is>
          <t>No link (keeps reach up)</t>
        </is>
      </c>
      <c r="M201" s="39" t="n">
        <v>4</v>
      </c>
      <c r="N201" s="42" t="inlineStr">
        <is>
          <t>Planned</t>
        </is>
      </c>
      <c r="O201" s="42" t="n"/>
    </row>
    <row r="202" ht="34.5" customHeight="1" s="27">
      <c r="A202" s="33" t="n">
        <v>51</v>
      </c>
      <c r="B202" s="34">
        <f>'Weekly overview'!$B$52+(-1)</f>
        <v/>
      </c>
      <c r="C202" s="33" t="inlineStr">
        <is>
          <t>Mon</t>
        </is>
      </c>
      <c r="D202" s="33" t="inlineStr">
        <is>
          <t>Process before technology: map your as-is before you buy anything</t>
        </is>
      </c>
      <c r="E202" s="33" t="inlineStr">
        <is>
          <t>Implementation</t>
        </is>
      </c>
      <c r="F202" s="33" t="inlineStr">
        <is>
          <t>Story (your experience)</t>
        </is>
      </c>
      <c r="G202" s="35" t="inlineStr">
        <is>
          <t>Story prompt: a process map that surprised everyone in the room.</t>
        </is>
      </c>
      <c r="H202" s="33" t="inlineStr">
        <is>
          <t>• Your experience, anonymised
• What did the shopfloor know that management didn't?. End: when did you last walk your process?</t>
        </is>
      </c>
      <c r="I202" s="33" t="inlineStr">
        <is>
          <t>Story post, 150–250 words, from your own experience. No link.</t>
        </is>
      </c>
      <c r="J202" s="33" t="inlineStr">
        <is>
          <t>Short thread, 3–4 posts.</t>
        </is>
      </c>
      <c r="K202" s="33" t="inlineStr">
        <is>
          <t>Reel: 30–45 sec talking to camera.</t>
        </is>
      </c>
      <c r="L202" s="33" t="inlineStr">
        <is>
          <t>No link (keeps reach up)</t>
        </is>
      </c>
      <c r="M202" s="33" t="n">
        <v>1</v>
      </c>
      <c r="N202" s="36" t="inlineStr">
        <is>
          <t>Planned</t>
        </is>
      </c>
      <c r="O202" s="36" t="n"/>
    </row>
    <row r="203" ht="45.75" customHeight="1" s="27">
      <c r="A203" s="33" t="n">
        <v>51</v>
      </c>
      <c r="B203" s="34">
        <f>'Weekly overview'!$B$52+(0)</f>
        <v/>
      </c>
      <c r="C203" s="33" t="inlineStr">
        <is>
          <t>Tue</t>
        </is>
      </c>
      <c r="D203" s="33" t="inlineStr">
        <is>
          <t>Process before technology: map your as-is before you buy anything</t>
        </is>
      </c>
      <c r="E203" s="33" t="inlineStr">
        <is>
          <t>Implementation</t>
        </is>
      </c>
      <c r="F203" s="37" t="inlineStr">
        <is>
          <t>Article post</t>
        </is>
      </c>
      <c r="G203" s="37" t="inlineStr">
        <is>
          <t>Digitise a broken process and you get a faster broken process.</t>
        </is>
      </c>
      <c r="H203" s="33" t="inlineStr">
        <is>
          <t>• Same product, different process on different shifts
• Map what actually happens with swimlanes
• Involve the people who do the work
• Design the to-be for the operator</t>
        </is>
      </c>
      <c r="I203" s="33" t="inlineStr">
        <is>
          <t>Text post, 150–250 words. Article link in the FIRST COMMENT.</t>
        </is>
      </c>
      <c r="J203" s="33" t="inlineStr">
        <is>
          <t>Thread, 5–7 posts. Link in the last post.</t>
        </is>
      </c>
      <c r="K203" s="33" t="inlineStr">
        <is>
          <t>Carousel, 7–9 slides. 'Link in bio' on the last slide.</t>
        </is>
      </c>
      <c r="L203" s="38" t="inlineStr">
        <is>
          <t>https://www.mesmatters.com/post/manufacturing-process-mapping</t>
        </is>
      </c>
      <c r="M203" s="33" t="n">
        <v>2</v>
      </c>
      <c r="N203" s="36" t="inlineStr">
        <is>
          <t>Planned</t>
        </is>
      </c>
      <c r="O203" s="36" t="n"/>
    </row>
    <row r="204" ht="45.75" customHeight="1" s="27">
      <c r="A204" s="33" t="n">
        <v>51</v>
      </c>
      <c r="B204" s="34">
        <f>'Weekly overview'!$B$52+(2)</f>
        <v/>
      </c>
      <c r="C204" s="33" t="inlineStr">
        <is>
          <t>Thu</t>
        </is>
      </c>
      <c r="D204" s="33" t="inlineStr">
        <is>
          <t>Process before technology: map your as-is before you buy anything</t>
        </is>
      </c>
      <c r="E204" s="33" t="inlineStr">
        <is>
          <t>Implementation</t>
        </is>
      </c>
      <c r="F204" s="33" t="inlineStr">
        <is>
          <t>Checklist</t>
        </is>
      </c>
      <c r="G204" s="35" t="inlineStr">
        <is>
          <t>Four steps to map your as-is process.</t>
        </is>
      </c>
      <c r="H204" s="33" t="inlineStr">
        <is>
          <t>• Start with the physical layout
• Follow the material and the paper
• Swimlane every role
• Question every step. Carousel</t>
        </is>
      </c>
      <c r="I204" s="33" t="inlineStr">
        <is>
          <t>Document carousel (PDF), one item per page.</t>
        </is>
      </c>
      <c r="J204" s="33" t="inlineStr">
        <is>
          <t>Thread, one item per post.</t>
        </is>
      </c>
      <c r="K204" s="33" t="inlineStr">
        <is>
          <t>Carousel, one item per slide.</t>
        </is>
      </c>
      <c r="L204" s="33" t="inlineStr">
        <is>
          <t>No link (keeps reach up)</t>
        </is>
      </c>
      <c r="M204" s="33" t="n">
        <v>3</v>
      </c>
      <c r="N204" s="36" t="inlineStr">
        <is>
          <t>Planned</t>
        </is>
      </c>
      <c r="O204" s="36" t="n"/>
    </row>
    <row r="205" ht="23.25" customHeight="1" s="27">
      <c r="A205" s="33" t="n">
        <v>51</v>
      </c>
      <c r="B205" s="34">
        <f>'Weekly overview'!$B$52+(3)</f>
        <v/>
      </c>
      <c r="C205" s="33" t="inlineStr">
        <is>
          <t>Fri</t>
        </is>
      </c>
      <c r="D205" s="33" t="inlineStr">
        <is>
          <t>Process before technology: map your as-is before you buy anything</t>
        </is>
      </c>
      <c r="E205" s="33" t="inlineStr">
        <is>
          <t>Implementation</t>
        </is>
      </c>
      <c r="F205" s="33" t="inlineStr">
        <is>
          <t>Question / poll</t>
        </is>
      </c>
      <c r="G205" s="35" t="inlineStr">
        <is>
          <t>When did you last map your production process end to end?</t>
        </is>
      </c>
      <c r="H205" s="33" t="inlineStr">
        <is>
          <t>• Poll: this year / 1–3 years / longer / never
• Comment: what did you find?</t>
        </is>
      </c>
      <c r="I205" s="33" t="inlineStr">
        <is>
          <t>LinkedIn poll (1 week). Reply to comments.</t>
        </is>
      </c>
      <c r="J205" s="33" t="inlineStr">
        <is>
          <t>Poll.</t>
        </is>
      </c>
      <c r="K205" s="33" t="inlineStr">
        <is>
          <t>Story poll, plus a quote graphic in the feed.</t>
        </is>
      </c>
      <c r="L205" s="33" t="inlineStr">
        <is>
          <t>No link (keeps reach up)</t>
        </is>
      </c>
      <c r="M205" s="33" t="n">
        <v>4</v>
      </c>
      <c r="N205" s="36" t="inlineStr">
        <is>
          <t>Planned</t>
        </is>
      </c>
      <c r="O205" s="36" t="n"/>
    </row>
    <row r="206" ht="23.25" customHeight="1" s="27">
      <c r="A206" s="39" t="n">
        <v>52</v>
      </c>
      <c r="B206" s="40">
        <f>'Weekly overview'!$B$53+(-1)</f>
        <v/>
      </c>
      <c r="C206" s="39" t="inlineStr">
        <is>
          <t>Mon</t>
        </is>
      </c>
      <c r="D206" s="39" t="inlineStr">
        <is>
          <t>Do you need both SCADA and MES?</t>
        </is>
      </c>
      <c r="E206" s="39" t="inlineStr">
        <is>
          <t>Foundations</t>
        </is>
      </c>
      <c r="F206" s="39" t="inlineStr">
        <is>
          <t>Analogy</t>
        </is>
      </c>
      <c r="G206" s="41" t="inlineStr">
        <is>
          <t>SCADA watches the machines. MES/MOM runs the operation.</t>
        </is>
      </c>
      <c r="H206" s="39" t="inlineStr">
        <is>
          <t>• One is about control, the other about production context
• Both can read the same PLC</t>
        </is>
      </c>
      <c r="I206" s="39" t="inlineStr">
        <is>
          <t>Short text post, 50–120 words. No link.</t>
        </is>
      </c>
      <c r="J206" s="39" t="inlineStr">
        <is>
          <t>Single post.</t>
        </is>
      </c>
      <c r="K206" s="39" t="inlineStr">
        <is>
          <t>Quote graphic.</t>
        </is>
      </c>
      <c r="L206" s="39" t="inlineStr">
        <is>
          <t>No link (keeps reach up)</t>
        </is>
      </c>
      <c r="M206" s="39" t="n">
        <v>1</v>
      </c>
      <c r="N206" s="42" t="inlineStr">
        <is>
          <t>Planned</t>
        </is>
      </c>
      <c r="O206" s="42" t="n"/>
    </row>
    <row r="207" ht="45.75" customHeight="1" s="27">
      <c r="A207" s="39" t="n">
        <v>52</v>
      </c>
      <c r="B207" s="40">
        <f>'Weekly overview'!$B$53+(0)</f>
        <v/>
      </c>
      <c r="C207" s="39" t="inlineStr">
        <is>
          <t>Tue</t>
        </is>
      </c>
      <c r="D207" s="39" t="inlineStr">
        <is>
          <t>Do you need both SCADA and MES?</t>
        </is>
      </c>
      <c r="E207" s="39" t="inlineStr">
        <is>
          <t>Foundations</t>
        </is>
      </c>
      <c r="F207" s="43" t="inlineStr">
        <is>
          <t>Article post</t>
        </is>
      </c>
      <c r="G207" s="43" t="inlineStr">
        <is>
          <t>Do you need both SCADA and MES?</t>
        </is>
      </c>
      <c r="H207" s="39" t="inlineStr">
        <is>
          <t>• What each one does
• Where they overlap
• When MES/MOM can do the job on its own
• When you genuinely need both</t>
        </is>
      </c>
      <c r="I207" s="39" t="inlineStr">
        <is>
          <t>Text post, 150–250 words. Article link in the FIRST COMMENT.</t>
        </is>
      </c>
      <c r="J207" s="39" t="inlineStr">
        <is>
          <t>Thread, 5–7 posts. Link in the last post.</t>
        </is>
      </c>
      <c r="K207" s="39" t="inlineStr">
        <is>
          <t>Carousel, 7–9 slides. 'Link in bio' on the last slide.</t>
        </is>
      </c>
      <c r="L207" s="44" t="inlineStr">
        <is>
          <t>https://www.mesmatters.com/post/scada-vs-mes</t>
        </is>
      </c>
      <c r="M207" s="39" t="n">
        <v>2</v>
      </c>
      <c r="N207" s="42" t="inlineStr">
        <is>
          <t>Planned</t>
        </is>
      </c>
      <c r="O207" s="42" t="n"/>
    </row>
    <row r="208" ht="23.25" customHeight="1" s="27">
      <c r="A208" s="39" t="n">
        <v>52</v>
      </c>
      <c r="B208" s="40">
        <f>'Weekly overview'!$B$53+(2)</f>
        <v/>
      </c>
      <c r="C208" s="39" t="inlineStr">
        <is>
          <t>Thu</t>
        </is>
      </c>
      <c r="D208" s="39" t="inlineStr">
        <is>
          <t>Do you need both SCADA and MES?</t>
        </is>
      </c>
      <c r="E208" s="39" t="inlineStr">
        <is>
          <t>Foundations</t>
        </is>
      </c>
      <c r="F208" s="39" t="inlineStr">
        <is>
          <t>Question / poll</t>
        </is>
      </c>
      <c r="G208" s="41" t="inlineStr">
        <is>
          <t>Do you run SCADA and MES side by side?</t>
        </is>
      </c>
      <c r="H208" s="39" t="inlineStr">
        <is>
          <t>• Poll: both / SCADA only / MES only / neither
• Comment: where do they overlap?</t>
        </is>
      </c>
      <c r="I208" s="39" t="inlineStr">
        <is>
          <t>LinkedIn poll (1 week). Reply to comments.</t>
        </is>
      </c>
      <c r="J208" s="39" t="inlineStr">
        <is>
          <t>Poll.</t>
        </is>
      </c>
      <c r="K208" s="39" t="inlineStr">
        <is>
          <t>Story poll, plus a quote graphic in the feed.</t>
        </is>
      </c>
      <c r="L208" s="39" t="inlineStr">
        <is>
          <t>No link (keeps reach up)</t>
        </is>
      </c>
      <c r="M208" s="39" t="n">
        <v>3</v>
      </c>
      <c r="N208" s="42" t="inlineStr">
        <is>
          <t>Planned</t>
        </is>
      </c>
      <c r="O208" s="42" t="n"/>
    </row>
    <row r="209" ht="34.5" customHeight="1" s="27">
      <c r="A209" s="39" t="n">
        <v>52</v>
      </c>
      <c r="B209" s="40">
        <f>'Weekly overview'!$B$53+(3)</f>
        <v/>
      </c>
      <c r="C209" s="39" t="inlineStr">
        <is>
          <t>Fri</t>
        </is>
      </c>
      <c r="D209" s="39" t="inlineStr">
        <is>
          <t>Do you need both SCADA and MES?</t>
        </is>
      </c>
      <c r="E209" s="39" t="inlineStr">
        <is>
          <t>Foundations</t>
        </is>
      </c>
      <c r="F209" s="39" t="inlineStr">
        <is>
          <t>Contrarian take</t>
        </is>
      </c>
      <c r="G209" s="41" t="inlineStr">
        <is>
          <t>Two systems reading the same PLC and reporting different downtime is a governance problem, not a technical one.</t>
        </is>
      </c>
      <c r="H209" s="39" t="inlineStr">
        <is>
          <t>• Decide which is the system of record for each figure</t>
        </is>
      </c>
      <c r="I209" s="39" t="inlineStr">
        <is>
          <t>Short text post, 50–120 words. No link.</t>
        </is>
      </c>
      <c r="J209" s="39" t="inlineStr">
        <is>
          <t>Single post.</t>
        </is>
      </c>
      <c r="K209" s="39" t="inlineStr">
        <is>
          <t>Carousel: the take on slide 1, the reasoning over 3–4 slides.</t>
        </is>
      </c>
      <c r="L209" s="39" t="inlineStr">
        <is>
          <t>No link (keeps reach up)</t>
        </is>
      </c>
      <c r="M209" s="39" t="n">
        <v>4</v>
      </c>
      <c r="N209" s="42" t="inlineStr">
        <is>
          <t>Planned</t>
        </is>
      </c>
      <c r="O209" s="42" t="n"/>
    </row>
    <row r="210" ht="23.25" customHeight="1" s="27">
      <c r="A210" s="33" t="n">
        <v>53</v>
      </c>
      <c r="B210" s="34">
        <f>'Weekly overview'!$B$54+(-1)</f>
        <v/>
      </c>
      <c r="C210" s="33" t="inlineStr">
        <is>
          <t>Mon</t>
        </is>
      </c>
      <c r="D210" s="33" t="inlineStr">
        <is>
          <t>Rolling out across sites: the centre of excellence and template approach</t>
        </is>
      </c>
      <c r="E210" s="33" t="inlineStr">
        <is>
          <t>Implementation</t>
        </is>
      </c>
      <c r="F210" s="33" t="inlineStr">
        <is>
          <t>Contrarian take</t>
        </is>
      </c>
      <c r="G210" s="35" t="inlineStr">
        <is>
          <t>Every site says it's different. Most of the time, it's habit.</t>
        </is>
      </c>
      <c r="H210" s="33" t="inlineStr">
        <is>
          <t>• Challenge variation, keep what's genuinely needed
• Standardisation is the point</t>
        </is>
      </c>
      <c r="I210" s="33" t="inlineStr">
        <is>
          <t>Short text post, 50–120 words. No link.</t>
        </is>
      </c>
      <c r="J210" s="33" t="inlineStr">
        <is>
          <t>Single post.</t>
        </is>
      </c>
      <c r="K210" s="33" t="inlineStr">
        <is>
          <t>Carousel: the take on slide 1, the reasoning over 3–4 slides.</t>
        </is>
      </c>
      <c r="L210" s="33" t="inlineStr">
        <is>
          <t>No link (keeps reach up)</t>
        </is>
      </c>
      <c r="M210" s="33" t="n">
        <v>1</v>
      </c>
      <c r="N210" s="36" t="inlineStr">
        <is>
          <t>Planned</t>
        </is>
      </c>
      <c r="O210" s="36" t="n"/>
    </row>
    <row r="211" ht="45.75" customHeight="1" s="27">
      <c r="A211" s="33" t="n">
        <v>53</v>
      </c>
      <c r="B211" s="34">
        <f>'Weekly overview'!$B$54+(0)</f>
        <v/>
      </c>
      <c r="C211" s="33" t="inlineStr">
        <is>
          <t>Tue</t>
        </is>
      </c>
      <c r="D211" s="33" t="inlineStr">
        <is>
          <t>Rolling out across sites: the centre of excellence and template approach</t>
        </is>
      </c>
      <c r="E211" s="33" t="inlineStr">
        <is>
          <t>Implementation</t>
        </is>
      </c>
      <c r="F211" s="37" t="inlineStr">
        <is>
          <t>Article post</t>
        </is>
      </c>
      <c r="G211" s="37" t="inlineStr">
        <is>
          <t>Multi-site MES rollouts succeed or fail on the template.</t>
        </is>
      </c>
      <c r="H211" s="33" t="inlineStr">
        <is>
          <t>• Build a global standard: the template
• Allow local differences only where there's a real reason
• A centre of excellence to own it
• Start the template with your first site</t>
        </is>
      </c>
      <c r="I211" s="33" t="inlineStr">
        <is>
          <t>Text post, 150–250 words. Article link in the FIRST COMMENT.</t>
        </is>
      </c>
      <c r="J211" s="33" t="inlineStr">
        <is>
          <t>Thread, 5–7 posts. Link in the last post.</t>
        </is>
      </c>
      <c r="K211" s="33" t="inlineStr">
        <is>
          <t>Carousel, 7–9 slides. 'Link in bio' on the last slide.</t>
        </is>
      </c>
      <c r="L211" s="38" t="inlineStr">
        <is>
          <t>https://www.mesmatters.com/post/mes-multi-site-rollout</t>
        </is>
      </c>
      <c r="M211" s="33" t="n">
        <v>2</v>
      </c>
      <c r="N211" s="36" t="inlineStr">
        <is>
          <t>Planned</t>
        </is>
      </c>
      <c r="O211" s="36" t="n"/>
    </row>
    <row r="212" ht="23.25" customHeight="1" s="27">
      <c r="A212" s="33" t="n">
        <v>53</v>
      </c>
      <c r="B212" s="34">
        <f>'Weekly overview'!$B$54+(2)</f>
        <v/>
      </c>
      <c r="C212" s="33" t="inlineStr">
        <is>
          <t>Thu</t>
        </is>
      </c>
      <c r="D212" s="33" t="inlineStr">
        <is>
          <t>Rolling out across sites: the centre of excellence and template approach</t>
        </is>
      </c>
      <c r="E212" s="33" t="inlineStr">
        <is>
          <t>Implementation</t>
        </is>
      </c>
      <c r="F212" s="33" t="inlineStr">
        <is>
          <t>Question / poll</t>
        </is>
      </c>
      <c r="G212" s="35" t="inlineStr">
        <is>
          <t>How many versions of 'the same process' run across your sites?</t>
        </is>
      </c>
      <c r="H212" s="33" t="inlineStr">
        <is>
          <t>• Poll: 1 / 2–3 / 4+ / we've never checked
• Comment: why?</t>
        </is>
      </c>
      <c r="I212" s="33" t="inlineStr">
        <is>
          <t>LinkedIn poll (1 week). Reply to comments.</t>
        </is>
      </c>
      <c r="J212" s="33" t="inlineStr">
        <is>
          <t>Poll.</t>
        </is>
      </c>
      <c r="K212" s="33" t="inlineStr">
        <is>
          <t>Story poll, plus a quote graphic in the feed.</t>
        </is>
      </c>
      <c r="L212" s="33" t="inlineStr">
        <is>
          <t>No link (keeps reach up)</t>
        </is>
      </c>
      <c r="M212" s="33" t="n">
        <v>3</v>
      </c>
      <c r="N212" s="36" t="inlineStr">
        <is>
          <t>Planned</t>
        </is>
      </c>
      <c r="O212" s="36" t="n"/>
    </row>
    <row r="213" ht="23.25" customHeight="1" s="27">
      <c r="A213" s="33" t="n">
        <v>53</v>
      </c>
      <c r="B213" s="34">
        <f>'Weekly overview'!$B$54+(3)</f>
        <v/>
      </c>
      <c r="C213" s="33" t="inlineStr">
        <is>
          <t>Fri</t>
        </is>
      </c>
      <c r="D213" s="33" t="inlineStr">
        <is>
          <t>Rolling out across sites: the centre of excellence and template approach</t>
        </is>
      </c>
      <c r="E213" s="33" t="inlineStr">
        <is>
          <t>Implementation</t>
        </is>
      </c>
      <c r="F213" s="33" t="inlineStr">
        <is>
          <t>Stat or framework</t>
        </is>
      </c>
      <c r="G213" s="35" t="inlineStr">
        <is>
          <t>The centre of excellence: IT owns the application, OT owns the process.</t>
        </is>
      </c>
      <c r="H213" s="33" t="inlineStr">
        <is>
          <t>• Graphic: roles split between central team and sites
• Carousel</t>
        </is>
      </c>
      <c r="I213" s="33" t="inlineStr">
        <is>
          <t>Image or document carousel. No link.</t>
        </is>
      </c>
      <c r="J213" s="33" t="inlineStr">
        <is>
          <t>Single post with the image.</t>
        </is>
      </c>
      <c r="K213" s="33" t="inlineStr">
        <is>
          <t>Carousel, 5–7 slides.</t>
        </is>
      </c>
      <c r="L213" s="33" t="inlineStr">
        <is>
          <t>No link (keeps reach up)</t>
        </is>
      </c>
      <c r="M213" s="33" t="n">
        <v>4</v>
      </c>
      <c r="N213" s="36" t="inlineStr">
        <is>
          <t>Planned</t>
        </is>
      </c>
      <c r="O213" s="36" t="n"/>
    </row>
    <row r="214" ht="23.25" customHeight="1" s="27">
      <c r="A214" s="39" t="n">
        <v>54</v>
      </c>
      <c r="B214" s="40">
        <f>'Weekly overview'!$B$55+(-1)</f>
        <v/>
      </c>
      <c r="C214" s="39" t="inlineStr">
        <is>
          <t>Mon</t>
        </is>
      </c>
      <c r="D214" s="39" t="inlineStr">
        <is>
          <t>Historians, data lakes and data fabric: where shopfloor data lives</t>
        </is>
      </c>
      <c r="E214" s="39" t="inlineStr">
        <is>
          <t>Foundations</t>
        </is>
      </c>
      <c r="F214" s="39" t="inlineStr">
        <is>
          <t>Contrarian take</t>
        </is>
      </c>
      <c r="G214" s="41" t="inlineStr">
        <is>
          <t>Don't start with the data platform. Start with the decision you want to make.</t>
        </is>
      </c>
      <c r="H214" s="39" t="inlineStr">
        <is>
          <t>• Platforms without questions become expensive storage
• Work back from the use case</t>
        </is>
      </c>
      <c r="I214" s="39" t="inlineStr">
        <is>
          <t>Short text post, 50–120 words. No link.</t>
        </is>
      </c>
      <c r="J214" s="39" t="inlineStr">
        <is>
          <t>Single post.</t>
        </is>
      </c>
      <c r="K214" s="39" t="inlineStr">
        <is>
          <t>Carousel: the take on slide 1, the reasoning over 3–4 slides.</t>
        </is>
      </c>
      <c r="L214" s="39" t="inlineStr">
        <is>
          <t>No link (keeps reach up)</t>
        </is>
      </c>
      <c r="M214" s="39" t="n">
        <v>1</v>
      </c>
      <c r="N214" s="42" t="inlineStr">
        <is>
          <t>Planned</t>
        </is>
      </c>
      <c r="O214" s="42" t="n"/>
    </row>
    <row r="215" ht="45.75" customHeight="1" s="27">
      <c r="A215" s="39" t="n">
        <v>54</v>
      </c>
      <c r="B215" s="40">
        <f>'Weekly overview'!$B$55+(0)</f>
        <v/>
      </c>
      <c r="C215" s="39" t="inlineStr">
        <is>
          <t>Tue</t>
        </is>
      </c>
      <c r="D215" s="39" t="inlineStr">
        <is>
          <t>Historians, data lakes and data fabric: where shopfloor data lives</t>
        </is>
      </c>
      <c r="E215" s="39" t="inlineStr">
        <is>
          <t>Foundations</t>
        </is>
      </c>
      <c r="F215" s="43" t="inlineStr">
        <is>
          <t>Article post</t>
        </is>
      </c>
      <c r="G215" s="43" t="inlineStr">
        <is>
          <t>Historians, data lakes and data fabric: where does shopfloor data actually live?</t>
        </is>
      </c>
      <c r="H215" s="39" t="inlineStr">
        <is>
          <t>• Historians for time-series
• Warehouses and lakes for analysis
• Data fabric and mesh, without the buzzwords
• Which layer AI actually reads from</t>
        </is>
      </c>
      <c r="I215" s="39" t="inlineStr">
        <is>
          <t>Text post, 150–250 words. Article link in the FIRST COMMENT.</t>
        </is>
      </c>
      <c r="J215" s="39" t="inlineStr">
        <is>
          <t>Thread, 5–7 posts. Link in the last post.</t>
        </is>
      </c>
      <c r="K215" s="39" t="inlineStr">
        <is>
          <t>Carousel, 7–9 slides. 'Link in bio' on the last slide.</t>
        </is>
      </c>
      <c r="L215" s="44" t="inlineStr">
        <is>
          <t>https://www.mesmatters.com/post/manufacturing-data-platforms</t>
        </is>
      </c>
      <c r="M215" s="39" t="n">
        <v>2</v>
      </c>
      <c r="N215" s="42" t="inlineStr">
        <is>
          <t>Planned</t>
        </is>
      </c>
      <c r="O215" s="42" t="n"/>
    </row>
    <row r="216" ht="23.25" customHeight="1" s="27">
      <c r="A216" s="39" t="n">
        <v>54</v>
      </c>
      <c r="B216" s="40">
        <f>'Weekly overview'!$B$55+(2)</f>
        <v/>
      </c>
      <c r="C216" s="39" t="inlineStr">
        <is>
          <t>Thu</t>
        </is>
      </c>
      <c r="D216" s="39" t="inlineStr">
        <is>
          <t>Historians, data lakes and data fabric: where shopfloor data lives</t>
        </is>
      </c>
      <c r="E216" s="39" t="inlineStr">
        <is>
          <t>Foundations</t>
        </is>
      </c>
      <c r="F216" s="39" t="inlineStr">
        <is>
          <t>Question / poll</t>
        </is>
      </c>
      <c r="G216" s="41" t="inlineStr">
        <is>
          <t>Where does your shopfloor data end up?</t>
        </is>
      </c>
      <c r="H216" s="39" t="inlineStr">
        <is>
          <t>• Poll: historian / data lake / spreadsheets / nowhere useful
• Comment: who uses it?</t>
        </is>
      </c>
      <c r="I216" s="39" t="inlineStr">
        <is>
          <t>LinkedIn poll (1 week). Reply to comments.</t>
        </is>
      </c>
      <c r="J216" s="39" t="inlineStr">
        <is>
          <t>Poll.</t>
        </is>
      </c>
      <c r="K216" s="39" t="inlineStr">
        <is>
          <t>Story poll, plus a quote graphic in the feed.</t>
        </is>
      </c>
      <c r="L216" s="39" t="inlineStr">
        <is>
          <t>No link (keeps reach up)</t>
        </is>
      </c>
      <c r="M216" s="39" t="n">
        <v>3</v>
      </c>
      <c r="N216" s="42" t="inlineStr">
        <is>
          <t>Planned</t>
        </is>
      </c>
      <c r="O216" s="42" t="n"/>
    </row>
    <row r="217" ht="23.25" customHeight="1" s="27">
      <c r="A217" s="39" t="n">
        <v>54</v>
      </c>
      <c r="B217" s="40">
        <f>'Weekly overview'!$B$55+(3)</f>
        <v/>
      </c>
      <c r="C217" s="39" t="inlineStr">
        <is>
          <t>Fri</t>
        </is>
      </c>
      <c r="D217" s="39" t="inlineStr">
        <is>
          <t>Historians, data lakes and data fabric: where shopfloor data lives</t>
        </is>
      </c>
      <c r="E217" s="39" t="inlineStr">
        <is>
          <t>Foundations</t>
        </is>
      </c>
      <c r="F217" s="39" t="inlineStr">
        <is>
          <t>Stat or framework</t>
        </is>
      </c>
      <c r="G217" s="41" t="inlineStr">
        <is>
          <t>Historian vs warehouse vs lake vs fabric at a glance.</t>
        </is>
      </c>
      <c r="H217" s="39" t="inlineStr">
        <is>
          <t>• Graphic: what each holds and who uses it
• Carousel</t>
        </is>
      </c>
      <c r="I217" s="39" t="inlineStr">
        <is>
          <t>Image or document carousel. No link.</t>
        </is>
      </c>
      <c r="J217" s="39" t="inlineStr">
        <is>
          <t>Single post with the image.</t>
        </is>
      </c>
      <c r="K217" s="39" t="inlineStr">
        <is>
          <t>Carousel, 5–7 slides.</t>
        </is>
      </c>
      <c r="L217" s="39" t="inlineStr">
        <is>
          <t>No link (keeps reach up)</t>
        </is>
      </c>
      <c r="M217" s="39" t="n">
        <v>4</v>
      </c>
      <c r="N217" s="42" t="inlineStr">
        <is>
          <t>Planned</t>
        </is>
      </c>
      <c r="O217" s="42" t="n"/>
    </row>
    <row r="218" ht="23.25" customHeight="1" s="27">
      <c r="A218" s="33" t="n">
        <v>55</v>
      </c>
      <c r="B218" s="34">
        <f>'Weekly overview'!$B$56+(-1)</f>
        <v/>
      </c>
      <c r="C218" s="33" t="inlineStr">
        <is>
          <t>Mon</t>
        </is>
      </c>
      <c r="D218" s="33" t="inlineStr">
        <is>
          <t>The smart factory glossary</t>
        </is>
      </c>
      <c r="E218" s="33" t="inlineStr">
        <is>
          <t>Foundations</t>
        </is>
      </c>
      <c r="F218" s="33" t="inlineStr">
        <is>
          <t>Question / poll</t>
        </is>
      </c>
      <c r="G218" s="35" t="inlineStr">
        <is>
          <t>Which acronym confuses people most in your meetings?</t>
        </is>
      </c>
      <c r="H218" s="33" t="inlineStr">
        <is>
          <t>• Poll: MOM / UNS / MCP / APS
• Comment with your own</t>
        </is>
      </c>
      <c r="I218" s="33" t="inlineStr">
        <is>
          <t>LinkedIn poll (1 week). Reply to comments.</t>
        </is>
      </c>
      <c r="J218" s="33" t="inlineStr">
        <is>
          <t>Poll.</t>
        </is>
      </c>
      <c r="K218" s="33" t="inlineStr">
        <is>
          <t>Story poll, plus a quote graphic in the feed.</t>
        </is>
      </c>
      <c r="L218" s="33" t="inlineStr">
        <is>
          <t>No link (keeps reach up)</t>
        </is>
      </c>
      <c r="M218" s="33" t="n">
        <v>1</v>
      </c>
      <c r="N218" s="36" t="inlineStr">
        <is>
          <t>Planned</t>
        </is>
      </c>
      <c r="O218" s="36" t="n"/>
    </row>
    <row r="219" ht="45.75" customHeight="1" s="27">
      <c r="A219" s="33" t="n">
        <v>55</v>
      </c>
      <c r="B219" s="34">
        <f>'Weekly overview'!$B$56+(0)</f>
        <v/>
      </c>
      <c r="C219" s="33" t="inlineStr">
        <is>
          <t>Tue</t>
        </is>
      </c>
      <c r="D219" s="33" t="inlineStr">
        <is>
          <t>The smart factory glossary</t>
        </is>
      </c>
      <c r="E219" s="33" t="inlineStr">
        <is>
          <t>Foundations</t>
        </is>
      </c>
      <c r="F219" s="37" t="inlineStr">
        <is>
          <t>Article post</t>
        </is>
      </c>
      <c r="G219" s="37" t="inlineStr">
        <is>
          <t>Every acronym from APS to UNS, in plain English.</t>
        </is>
      </c>
      <c r="H219" s="33" t="inlineStr">
        <is>
          <t>• MES, MOM, OEE, ISA-95 and the rest
• Shopfloor AI terms explained without the hype
• Bookmark it for your next project meeting
• Tell me which term I've missed</t>
        </is>
      </c>
      <c r="I219" s="33" t="inlineStr">
        <is>
          <t>Text post, 150–250 words. Article link in the FIRST COMMENT.</t>
        </is>
      </c>
      <c r="J219" s="33" t="inlineStr">
        <is>
          <t>Thread, 5–7 posts. Link in the last post.</t>
        </is>
      </c>
      <c r="K219" s="33" t="inlineStr">
        <is>
          <t>Carousel, 7–9 slides. 'Link in bio' on the last slide.</t>
        </is>
      </c>
      <c r="L219" s="38" t="inlineStr">
        <is>
          <t>https://www.mesmatters.com/post/smart-factory-glossary</t>
        </is>
      </c>
      <c r="M219" s="33" t="n">
        <v>2</v>
      </c>
      <c r="N219" s="36" t="inlineStr">
        <is>
          <t>Planned</t>
        </is>
      </c>
      <c r="O219" s="36" t="n"/>
    </row>
    <row r="220" ht="23.25" customHeight="1" s="27">
      <c r="A220" s="33" t="n">
        <v>55</v>
      </c>
      <c r="B220" s="34">
        <f>'Weekly overview'!$B$56+(2)</f>
        <v/>
      </c>
      <c r="C220" s="33" t="inlineStr">
        <is>
          <t>Thu</t>
        </is>
      </c>
      <c r="D220" s="33" t="inlineStr">
        <is>
          <t>The smart factory glossary</t>
        </is>
      </c>
      <c r="E220" s="33" t="inlineStr">
        <is>
          <t>Foundations</t>
        </is>
      </c>
      <c r="F220" s="33" t="inlineStr">
        <is>
          <t>Stat or framework</t>
        </is>
      </c>
      <c r="G220" s="35" t="inlineStr">
        <is>
          <t>Ten acronyms every smart factory team should know.</t>
        </is>
      </c>
      <c r="H220" s="33" t="inlineStr">
        <is>
          <t>• Carousel: one term per slide with a one-line definition
• Link to the full glossary in bio</t>
        </is>
      </c>
      <c r="I220" s="33" t="inlineStr">
        <is>
          <t>Image or document carousel. No link.</t>
        </is>
      </c>
      <c r="J220" s="33" t="inlineStr">
        <is>
          <t>Single post with the image.</t>
        </is>
      </c>
      <c r="K220" s="33" t="inlineStr">
        <is>
          <t>Carousel, 5–7 slides.</t>
        </is>
      </c>
      <c r="L220" s="33" t="inlineStr">
        <is>
          <t>No link (keeps reach up)</t>
        </is>
      </c>
      <c r="M220" s="33" t="n">
        <v>3</v>
      </c>
      <c r="N220" s="36" t="inlineStr">
        <is>
          <t>Planned</t>
        </is>
      </c>
      <c r="O220" s="36" t="n"/>
    </row>
    <row r="221" ht="23.25" customHeight="1" s="27">
      <c r="A221" s="33" t="n">
        <v>55</v>
      </c>
      <c r="B221" s="34">
        <f>'Weekly overview'!$B$56+(3)</f>
        <v/>
      </c>
      <c r="C221" s="33" t="inlineStr">
        <is>
          <t>Fri</t>
        </is>
      </c>
      <c r="D221" s="33" t="inlineStr">
        <is>
          <t>The smart factory glossary</t>
        </is>
      </c>
      <c r="E221" s="33" t="inlineStr">
        <is>
          <t>Foundations</t>
        </is>
      </c>
      <c r="F221" s="33" t="inlineStr">
        <is>
          <t>Contrarian take</t>
        </is>
      </c>
      <c r="G221" s="35" t="inlineStr">
        <is>
          <t>If your project team can't agree what 'MES' means, your requirements won't agree either.</t>
        </is>
      </c>
      <c r="H221" s="33" t="inlineStr">
        <is>
          <t>• Align on terminology before scope
• A shared glossary saves weeks</t>
        </is>
      </c>
      <c r="I221" s="33" t="inlineStr">
        <is>
          <t>Short text post, 50–120 words. No link.</t>
        </is>
      </c>
      <c r="J221" s="33" t="inlineStr">
        <is>
          <t>Single post.</t>
        </is>
      </c>
      <c r="K221" s="33" t="inlineStr">
        <is>
          <t>Carousel: the take on slide 1, the reasoning over 3–4 slides.</t>
        </is>
      </c>
      <c r="L221" s="33" t="inlineStr">
        <is>
          <t>No link (keeps reach up)</t>
        </is>
      </c>
      <c r="M221" s="33" t="n">
        <v>4</v>
      </c>
      <c r="N221" s="36" t="inlineStr">
        <is>
          <t>Planned</t>
        </is>
      </c>
      <c r="O221" s="36" t="n"/>
    </row>
    <row r="222" ht="23.25" customHeight="1" s="27">
      <c r="A222" s="39" t="n">
        <v>56</v>
      </c>
      <c r="B222" s="40">
        <f>'Weekly overview'!$B$57+(-1)</f>
        <v/>
      </c>
      <c r="C222" s="39" t="inlineStr">
        <is>
          <t>Mon</t>
        </is>
      </c>
      <c r="D222" s="39" t="inlineStr">
        <is>
          <t>Go-live is the starting line</t>
        </is>
      </c>
      <c r="E222" s="39" t="inlineStr">
        <is>
          <t>Implementation</t>
        </is>
      </c>
      <c r="F222" s="39" t="inlineStr">
        <is>
          <t>Story (your experience)</t>
        </is>
      </c>
      <c r="G222" s="41" t="inlineStr">
        <is>
          <t>Story prompt: what happened in the first month after a go-live.</t>
        </is>
      </c>
      <c r="H222" s="39" t="inlineStr">
        <is>
          <t>• Your experience, anonymised
• What surprised you?. End: what's your hypercare rule?</t>
        </is>
      </c>
      <c r="I222" s="39" t="inlineStr">
        <is>
          <t>Story post, 150–250 words, from your own experience. No link.</t>
        </is>
      </c>
      <c r="J222" s="39" t="inlineStr">
        <is>
          <t>Short thread, 3–4 posts.</t>
        </is>
      </c>
      <c r="K222" s="39" t="inlineStr">
        <is>
          <t>Reel: 30–45 sec talking to camera.</t>
        </is>
      </c>
      <c r="L222" s="39" t="inlineStr">
        <is>
          <t>No link (keeps reach up)</t>
        </is>
      </c>
      <c r="M222" s="39" t="n">
        <v>1</v>
      </c>
      <c r="N222" s="42" t="inlineStr">
        <is>
          <t>Planned</t>
        </is>
      </c>
      <c r="O222" s="42" t="n"/>
    </row>
    <row r="223" ht="45.75" customHeight="1" s="27">
      <c r="A223" s="39" t="n">
        <v>56</v>
      </c>
      <c r="B223" s="40">
        <f>'Weekly overview'!$B$57+(0)</f>
        <v/>
      </c>
      <c r="C223" s="39" t="inlineStr">
        <is>
          <t>Tue</t>
        </is>
      </c>
      <c r="D223" s="39" t="inlineStr">
        <is>
          <t>Go-live is the starting line</t>
        </is>
      </c>
      <c r="E223" s="39" t="inlineStr">
        <is>
          <t>Implementation</t>
        </is>
      </c>
      <c r="F223" s="43" t="inlineStr">
        <is>
          <t>Article post</t>
        </is>
      </c>
      <c r="G223" s="43" t="inlineStr">
        <is>
          <t>Go-live is the starting line, not the finish line.</t>
        </is>
      </c>
      <c r="H223" s="39" t="inlineStr">
        <is>
          <t>• The first weeks of hypercare
• Measure what you promised in the business case
• Celebrate the quick wins
• Keep the system evolving</t>
        </is>
      </c>
      <c r="I223" s="39" t="inlineStr">
        <is>
          <t>Text post, 150–250 words. Article link in the FIRST COMMENT.</t>
        </is>
      </c>
      <c r="J223" s="39" t="inlineStr">
        <is>
          <t>Thread, 5–7 posts. Link in the last post.</t>
        </is>
      </c>
      <c r="K223" s="39" t="inlineStr">
        <is>
          <t>Carousel, 7–9 slides. 'Link in bio' on the last slide.</t>
        </is>
      </c>
      <c r="L223" s="44" t="inlineStr">
        <is>
          <t>https://www.mesmatters.com/post/mes-go-live</t>
        </is>
      </c>
      <c r="M223" s="39" t="n">
        <v>2</v>
      </c>
      <c r="N223" s="42" t="inlineStr">
        <is>
          <t>Planned</t>
        </is>
      </c>
      <c r="O223" s="42" t="n"/>
    </row>
    <row r="224" ht="45.75" customHeight="1" s="27">
      <c r="A224" s="39" t="n">
        <v>56</v>
      </c>
      <c r="B224" s="40">
        <f>'Weekly overview'!$B$57+(2)</f>
        <v/>
      </c>
      <c r="C224" s="39" t="inlineStr">
        <is>
          <t>Thu</t>
        </is>
      </c>
      <c r="D224" s="39" t="inlineStr">
        <is>
          <t>Go-live is the starting line</t>
        </is>
      </c>
      <c r="E224" s="39" t="inlineStr">
        <is>
          <t>Implementation</t>
        </is>
      </c>
      <c r="F224" s="39" t="inlineStr">
        <is>
          <t>Checklist</t>
        </is>
      </c>
      <c r="G224" s="41" t="inlineStr">
        <is>
          <t>Four things to do in the first 30 days after go-live.</t>
        </is>
      </c>
      <c r="H224" s="39" t="inlineStr">
        <is>
          <t>• Support on every shift
• Daily issue review
• Measure against the baseline
• Make quick wins visible. Carousel</t>
        </is>
      </c>
      <c r="I224" s="39" t="inlineStr">
        <is>
          <t>Document carousel (PDF), one item per page.</t>
        </is>
      </c>
      <c r="J224" s="39" t="inlineStr">
        <is>
          <t>Thread, one item per post.</t>
        </is>
      </c>
      <c r="K224" s="39" t="inlineStr">
        <is>
          <t>Carousel, one item per slide.</t>
        </is>
      </c>
      <c r="L224" s="39" t="inlineStr">
        <is>
          <t>No link (keeps reach up)</t>
        </is>
      </c>
      <c r="M224" s="39" t="n">
        <v>3</v>
      </c>
      <c r="N224" s="42" t="inlineStr">
        <is>
          <t>Planned</t>
        </is>
      </c>
      <c r="O224" s="42" t="n"/>
    </row>
    <row r="225" ht="23.25" customHeight="1" s="27">
      <c r="A225" s="39" t="n">
        <v>56</v>
      </c>
      <c r="B225" s="40">
        <f>'Weekly overview'!$B$57+(3)</f>
        <v/>
      </c>
      <c r="C225" s="39" t="inlineStr">
        <is>
          <t>Fri</t>
        </is>
      </c>
      <c r="D225" s="39" t="inlineStr">
        <is>
          <t>Go-live is the starting line</t>
        </is>
      </c>
      <c r="E225" s="39" t="inlineStr">
        <is>
          <t>Implementation</t>
        </is>
      </c>
      <c r="F225" s="39" t="inlineStr">
        <is>
          <t>Question / poll</t>
        </is>
      </c>
      <c r="G225" s="41" t="inlineStr">
        <is>
          <t>What happens to your project team after go-live?</t>
        </is>
      </c>
      <c r="H225" s="39" t="inlineStr">
        <is>
          <t>• Poll: stays on / moves to the next site / disbands / never existed
• Comment: what should happen?</t>
        </is>
      </c>
      <c r="I225" s="39" t="inlineStr">
        <is>
          <t>LinkedIn poll (1 week). Reply to comments.</t>
        </is>
      </c>
      <c r="J225" s="39" t="inlineStr">
        <is>
          <t>Poll.</t>
        </is>
      </c>
      <c r="K225" s="39" t="inlineStr">
        <is>
          <t>Story poll, plus a quote graphic in the feed.</t>
        </is>
      </c>
      <c r="L225" s="39" t="inlineStr">
        <is>
          <t>No link (keeps reach up)</t>
        </is>
      </c>
      <c r="M225" s="39" t="n">
        <v>4</v>
      </c>
      <c r="N225" s="42" t="inlineStr">
        <is>
          <t>Planned</t>
        </is>
      </c>
      <c r="O225" s="42" t="n"/>
    </row>
  </sheetData>
  <autoFilter ref="A1:O225"/>
  <conditionalFormatting sqref="N2:N225">
    <cfRule type="expression" rank="0" priority="2" equalAverage="0" aboveAverage="0" dxfId="8" text="" percent="0" bottom="0">
      <formula>$N2="Posted"</formula>
    </cfRule>
    <cfRule type="expression" rank="0" priority="3" equalAverage="0" aboveAverage="0" dxfId="9" text="" percent="0" bottom="0">
      <formula>$N2="Scheduled"</formula>
    </cfRule>
    <cfRule type="expression" rank="0" priority="4" equalAverage="0" aboveAverage="0" dxfId="10" text="" percent="0" bottom="0">
      <formula>$N2="Drafted"</formula>
    </cfRule>
  </conditionalFormatting>
  <dataValidations count="1">
    <dataValidation sqref="N2:N225" showDropDown="0" showInputMessage="0" showErrorMessage="0" allowBlank="0" type="list" errorStyle="stop" operator="between">
      <formula1>"Planned,Drafted,Scheduled,Posted"</formula1>
      <formula2>0</formula2>
    </dataValidation>
  </dataValidations>
  <hyperlinks>
    <hyperlink xmlns:r="http://schemas.openxmlformats.org/officeDocument/2006/relationships" ref="L3" display="https://www.mesmatters.com/post/connected-worker-one-app-not-five" r:id="rId1"/>
    <hyperlink xmlns:r="http://schemas.openxmlformats.org/officeDocument/2006/relationships" ref="L7" display="https://www.mesmatters.com/post/what-is-a-smart-factory" r:id="rId2"/>
    <hyperlink xmlns:r="http://schemas.openxmlformats.org/officeDocument/2006/relationships" ref="L11" display="https://www.mesmatters.com/post/ai-ml-genai-on-the-shopfloor" r:id="rId3"/>
    <hyperlink xmlns:r="http://schemas.openxmlformats.org/officeDocument/2006/relationships" ref="L15" display="https://www.mesmatters.com/post/smart-manufacturing-maturity-model" r:id="rId4"/>
    <hyperlink xmlns:r="http://schemas.openxmlformats.org/officeDocument/2006/relationships" ref="L19" display="https://www.mesmatters.com/post/plm-erp-mes-digital-thread" r:id="rId5"/>
    <hyperlink xmlns:r="http://schemas.openxmlformats.org/officeDocument/2006/relationships" ref="L23" display="https://www.mesmatters.com/post/digital-shift-handover" r:id="rId6"/>
    <hyperlink xmlns:r="http://schemas.openxmlformats.org/officeDocument/2006/relationships" ref="L27" display="https://www.mesmatters.com/post/smart-factory-tech-stack" r:id="rId7"/>
    <hyperlink xmlns:r="http://schemas.openxmlformats.org/officeDocument/2006/relationships" ref="L31" display="https://www.mesmatters.com/post/mes-vs-mom" r:id="rId8"/>
    <hyperlink xmlns:r="http://schemas.openxmlformats.org/officeDocument/2006/relationships" ref="L35" display="https://www.mesmatters.com/post/ebom-mbom-as-built" r:id="rId9"/>
    <hyperlink xmlns:r="http://schemas.openxmlformats.org/officeDocument/2006/relationships" ref="L39" display="https://www.mesmatters.com/post/contextualised-manufacturing-data" r:id="rId10"/>
    <hyperlink xmlns:r="http://schemas.openxmlformats.org/officeDocument/2006/relationships" ref="L43" display="https://www.mesmatters.com/post/mes-business-case" r:id="rId11"/>
    <hyperlink xmlns:r="http://schemas.openxmlformats.org/officeDocument/2006/relationships" ref="L47" display="https://www.mesmatters.com/post/food-manufacturing-mes-barriers" r:id="rId12"/>
    <hyperlink xmlns:r="http://schemas.openxmlformats.org/officeDocument/2006/relationships" ref="L51" display="https://www.mesmatters.com/post/cpq-to-shopfloor" r:id="rId13"/>
    <hyperlink xmlns:r="http://schemas.openxmlformats.org/officeDocument/2006/relationships" ref="L55" display="https://www.mesmatters.com/post/skills-enforcement-shopfloor" r:id="rId14"/>
    <hyperlink xmlns:r="http://schemas.openxmlformats.org/officeDocument/2006/relationships" ref="L59" display="https://www.mesmatters.com/post/practical-genai-for-the-shopfloor" r:id="rId15"/>
    <hyperlink xmlns:r="http://schemas.openxmlformats.org/officeDocument/2006/relationships" ref="L63" display="https://www.mesmatters.com/post/wms-vs-mes-inventory" r:id="rId16"/>
    <hyperlink xmlns:r="http://schemas.openxmlformats.org/officeDocument/2006/relationships" ref="L67" display="https://www.mesmatters.com/post/iiot-vs-mes" r:id="rId17"/>
    <hyperlink xmlns:r="http://schemas.openxmlformats.org/officeDocument/2006/relationships" ref="L71" display="https://www.mesmatters.com/post/configure-dont-customise" r:id="rId18"/>
    <hyperlink xmlns:r="http://schemas.openxmlformats.org/officeDocument/2006/relationships" ref="L75" display="https://www.mesmatters.com/post/aps-vs-mes-scheduling" r:id="rId19"/>
    <hyperlink xmlns:r="http://schemas.openxmlformats.org/officeDocument/2006/relationships" ref="L79" display="https://www.mesmatters.com/post/digital-work-instructions" r:id="rId20"/>
    <hyperlink xmlns:r="http://schemas.openxmlformats.org/officeDocument/2006/relationships" ref="L83" display="https://www.mesmatters.com/post/predictive-maintenance-data" r:id="rId21"/>
    <hyperlink xmlns:r="http://schemas.openxmlformats.org/officeDocument/2006/relationships" ref="L87" display="https://www.mesmatters.com/post/qms-and-mes-quality" r:id="rId22"/>
    <hyperlink xmlns:r="http://schemas.openxmlformats.org/officeDocument/2006/relationships" ref="L91" display="https://www.mesmatters.com/post/manufacturing-traceability" r:id="rId23"/>
    <hyperlink xmlns:r="http://schemas.openxmlformats.org/officeDocument/2006/relationships" ref="L95" display="https://www.mesmatters.com/post/how-to-choose-an-mes" r:id="rId24"/>
    <hyperlink xmlns:r="http://schemas.openxmlformats.org/officeDocument/2006/relationships" ref="L99" display="https://www.mesmatters.com/post/spc-on-the-shopfloor" r:id="rId25"/>
    <hyperlink xmlns:r="http://schemas.openxmlformats.org/officeDocument/2006/relationships" ref="L103" display="https://www.mesmatters.com/post/ai-for-frontline-workers" r:id="rId26"/>
    <hyperlink xmlns:r="http://schemas.openxmlformats.org/officeDocument/2006/relationships" ref="L107" display="https://www.mesmatters.com/post/smart-manufacturing-myths" r:id="rId27"/>
    <hyperlink xmlns:r="http://schemas.openxmlformats.org/officeDocument/2006/relationships" ref="L111" display="https://www.mesmatters.com/post/eam-cmms-and-mes" r:id="rId28"/>
    <hyperlink xmlns:r="http://schemas.openxmlformats.org/officeDocument/2006/relationships" ref="L115" display="https://www.mesmatters.com/post/mes-functionality-maintenance" r:id="rId29"/>
    <hyperlink xmlns:r="http://schemas.openxmlformats.org/officeDocument/2006/relationships" ref="L119" display="https://www.mesmatters.com/post/manufacturing-change-management" r:id="rId30"/>
    <hyperlink xmlns:r="http://schemas.openxmlformats.org/officeDocument/2006/relationships" ref="L123" display="https://www.mesmatters.com/post/lims-and-mes" r:id="rId31"/>
    <hyperlink xmlns:r="http://schemas.openxmlformats.org/officeDocument/2006/relationships" ref="L127" display="https://www.mesmatters.com/post/agentic-ai-mcp-manufacturing" r:id="rId32"/>
    <hyperlink xmlns:r="http://schemas.openxmlformats.org/officeDocument/2006/relationships" ref="L131" display="https://www.mesmatters.com/post/manufacturing-kpis-beyond-oee" r:id="rId33"/>
    <hyperlink xmlns:r="http://schemas.openxmlformats.org/officeDocument/2006/relationships" ref="L135" display="https://www.mesmatters.com/post/isa95-integration-patterns" r:id="rId34"/>
    <hyperlink xmlns:r="http://schemas.openxmlformats.org/officeDocument/2006/relationships" ref="L139" display="https://www.mesmatters.com/post/smart-factory-technology-mistakes" r:id="rId35"/>
    <hyperlink xmlns:r="http://schemas.openxmlformats.org/officeDocument/2006/relationships" ref="L143" display="https://www.mesmatters.com/post/mes-is-a-digital-twin" r:id="rId36"/>
    <hyperlink xmlns:r="http://schemas.openxmlformats.org/officeDocument/2006/relationships" ref="L147" display="https://www.mesmatters.com/post/ot-cybersecurity-for-mes" r:id="rId37"/>
    <hyperlink xmlns:r="http://schemas.openxmlformats.org/officeDocument/2006/relationships" ref="L151" display="https://www.mesmatters.com/post/opc-ua-mqtt-uns-explained" r:id="rId38"/>
    <hyperlink xmlns:r="http://schemas.openxmlformats.org/officeDocument/2006/relationships" ref="L155" display="https://www.mesmatters.com/post/erp-master-data-for-mes" r:id="rId39"/>
    <hyperlink xmlns:r="http://schemas.openxmlformats.org/officeDocument/2006/relationships" ref="L159" display="https://www.mesmatters.com/post/mes-in-regulated-industries" r:id="rId40"/>
    <hyperlink xmlns:r="http://schemas.openxmlformats.org/officeDocument/2006/relationships" ref="L163" display="https://www.mesmatters.com/post/esg-needs-shopfloor-data" r:id="rId41"/>
    <hyperlink xmlns:r="http://schemas.openxmlformats.org/officeDocument/2006/relationships" ref="L167" display="https://www.mesmatters.com/post/mes-functionality-tooling" r:id="rId42"/>
    <hyperlink xmlns:r="http://schemas.openxmlformats.org/officeDocument/2006/relationships" ref="L171" display="https://www.mesmatters.com/post/service-data-back-to-engineering" r:id="rId43"/>
    <hyperlink xmlns:r="http://schemas.openxmlformats.org/officeDocument/2006/relationships" ref="L175" display="https://www.mesmatters.com/post/replacing-a-homegrown-mes" r:id="rId44"/>
    <hyperlink xmlns:r="http://schemas.openxmlformats.org/officeDocument/2006/relationships" ref="L179" display="https://www.mesmatters.com/post/smart-factory-roi-research" r:id="rId45"/>
    <hyperlink xmlns:r="http://schemas.openxmlformats.org/officeDocument/2006/relationships" ref="L183" display="https://www.mesmatters.com/post/cloud-vs-on-premises-mes" r:id="rId46"/>
    <hyperlink xmlns:r="http://schemas.openxmlformats.org/officeDocument/2006/relationships" ref="L187" display="https://www.mesmatters.com/post/how-long-does-mes-implementation-take" r:id="rId47"/>
    <hyperlink xmlns:r="http://schemas.openxmlformats.org/officeDocument/2006/relationships" ref="L191" display="https://www.mesmatters.com/post/paperless-manufacturing" r:id="rId48"/>
    <hyperlink xmlns:r="http://schemas.openxmlformats.org/officeDocument/2006/relationships" ref="L195" display="https://www.mesmatters.com/post/discrete-vs-process-manufacturing" r:id="rId49"/>
    <hyperlink xmlns:r="http://schemas.openxmlformats.org/officeDocument/2006/relationships" ref="L199" display="https://www.mesmatters.com/post/mes-functionality-energy" r:id="rId50"/>
    <hyperlink xmlns:r="http://schemas.openxmlformats.org/officeDocument/2006/relationships" ref="L203" display="https://www.mesmatters.com/post/manufacturing-process-mapping" r:id="rId51"/>
    <hyperlink xmlns:r="http://schemas.openxmlformats.org/officeDocument/2006/relationships" ref="L207" display="https://www.mesmatters.com/post/scada-vs-mes" r:id="rId52"/>
    <hyperlink xmlns:r="http://schemas.openxmlformats.org/officeDocument/2006/relationships" ref="L211" display="https://www.mesmatters.com/post/mes-multi-site-rollout" r:id="rId53"/>
    <hyperlink xmlns:r="http://schemas.openxmlformats.org/officeDocument/2006/relationships" ref="L215" display="https://www.mesmatters.com/post/manufacturing-data-platforms" r:id="rId54"/>
    <hyperlink xmlns:r="http://schemas.openxmlformats.org/officeDocument/2006/relationships" ref="L219" display="https://www.mesmatters.com/post/smart-factory-glossary" r:id="rId55"/>
    <hyperlink xmlns:r="http://schemas.openxmlformats.org/officeDocument/2006/relationships" ref="L223" display="https://www.mesmatters.com/post/mes-go-live" r:id="rId5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16" customWidth="1" style="26" min="2" max="2"/>
    <col width="62" customWidth="1" style="26" min="3" max="3"/>
    <col width="20" customWidth="1" style="26" min="4" max="4"/>
    <col width="58" customWidth="1" style="26" min="5" max="5"/>
    <col width="16" customWidth="1" style="26" min="6" max="6"/>
  </cols>
  <sheetData>
    <row r="1" ht="15" customHeight="1" s="27">
      <c r="A1" s="45" t="inlineStr">
        <is>
          <t>Week</t>
        </is>
      </c>
      <c r="B1" s="45" t="inlineStr">
        <is>
          <t>Tuesday</t>
        </is>
      </c>
      <c r="C1" s="45" t="inlineStr">
        <is>
          <t>Featured article</t>
        </is>
      </c>
      <c r="D1" s="45" t="inlineStr">
        <is>
          <t>Pillar</t>
        </is>
      </c>
      <c r="E1" s="45" t="inlineStr">
        <is>
          <t>Article link</t>
        </is>
      </c>
      <c r="F1" s="45" t="inlineStr">
        <is>
          <t>Posts done (of 4)</t>
        </is>
      </c>
    </row>
    <row r="2" ht="15" customHeight="1" s="27">
      <c r="A2" s="46" t="n">
        <v>1</v>
      </c>
      <c r="B2" s="47">
        <f>'How to use'!$B$3+0</f>
        <v/>
      </c>
      <c r="C2" s="48" t="inlineStr">
        <is>
          <t>Connected worker: why your operators need one app, not five</t>
        </is>
      </c>
      <c r="D2" s="46" t="inlineStr">
        <is>
          <t>Smart Factory &amp; AI</t>
        </is>
      </c>
      <c r="E2" s="49" t="inlineStr">
        <is>
          <t>https://www.mesmatters.com/post/connected-worker-one-app-not-five</t>
        </is>
      </c>
      <c r="F2" s="46">
        <f>COUNTIFS(Calendar!$A:$A,A2,Calendar!$N:$N,"Posted")</f>
        <v/>
      </c>
    </row>
    <row r="3" ht="15" customHeight="1" s="27">
      <c r="A3" s="46" t="n">
        <v>2</v>
      </c>
      <c r="B3" s="47">
        <f>'How to use'!$B$3+7</f>
        <v/>
      </c>
      <c r="C3" s="48" t="inlineStr">
        <is>
          <t>What is a smart factory? No version number required</t>
        </is>
      </c>
      <c r="D3" s="46" t="inlineStr">
        <is>
          <t>Smart Factory &amp; AI</t>
        </is>
      </c>
      <c r="E3" s="49" t="inlineStr">
        <is>
          <t>https://www.mesmatters.com/post/what-is-a-smart-factory</t>
        </is>
      </c>
      <c r="F3" s="46">
        <f>COUNTIFS(Calendar!$A:$A,A3,Calendar!$N:$N,"Posted")</f>
        <v/>
      </c>
    </row>
    <row r="4" ht="15" customHeight="1" s="27">
      <c r="A4" s="46" t="n">
        <v>3</v>
      </c>
      <c r="B4" s="47">
        <f>'How to use'!$B$3+14</f>
        <v/>
      </c>
      <c r="C4" s="48" t="inlineStr">
        <is>
          <t>AI, ML and GenAI on the shopfloor: what each one actually does</t>
        </is>
      </c>
      <c r="D4" s="46" t="inlineStr">
        <is>
          <t>Smart Factory &amp; AI</t>
        </is>
      </c>
      <c r="E4" s="49" t="inlineStr">
        <is>
          <t>https://www.mesmatters.com/post/ai-ml-genai-on-the-shopfloor</t>
        </is>
      </c>
      <c r="F4" s="46">
        <f>COUNTIFS(Calendar!$A:$A,A4,Calendar!$N:$N,"Posted")</f>
        <v/>
      </c>
    </row>
    <row r="5" ht="15" customHeight="1" s="27">
      <c r="A5" s="46" t="n">
        <v>4</v>
      </c>
      <c r="B5" s="47">
        <f>'How to use'!$B$3+21</f>
        <v/>
      </c>
      <c r="C5" s="48" t="inlineStr">
        <is>
          <t>The smart manufacturing maturity model: you can't skip a level</t>
        </is>
      </c>
      <c r="D5" s="46" t="inlineStr">
        <is>
          <t>Smart Factory &amp; AI</t>
        </is>
      </c>
      <c r="E5" s="49" t="inlineStr">
        <is>
          <t>https://www.mesmatters.com/post/smart-manufacturing-maturity-model</t>
        </is>
      </c>
      <c r="F5" s="46">
        <f>COUNTIFS(Calendar!$A:$A,A5,Calendar!$N:$N,"Posted")</f>
        <v/>
      </c>
    </row>
    <row r="6" ht="15" customHeight="1" s="27">
      <c r="A6" s="46" t="n">
        <v>5</v>
      </c>
      <c r="B6" s="47">
        <f>'How to use'!$B$3+28</f>
        <v/>
      </c>
      <c r="C6" s="48" t="inlineStr">
        <is>
          <t>PLM, ERP and MES: where the digital thread actually runs</t>
        </is>
      </c>
      <c r="D6" s="46" t="inlineStr">
        <is>
          <t>Foundations</t>
        </is>
      </c>
      <c r="E6" s="49" t="inlineStr">
        <is>
          <t>https://www.mesmatters.com/post/plm-erp-mes-digital-thread</t>
        </is>
      </c>
      <c r="F6" s="46">
        <f>COUNTIFS(Calendar!$A:$A,A6,Calendar!$N:$N,"Posted")</f>
        <v/>
      </c>
    </row>
    <row r="7" ht="15" customHeight="1" s="27">
      <c r="A7" s="46" t="n">
        <v>6</v>
      </c>
      <c r="B7" s="47">
        <f>'How to use'!$B$3+35</f>
        <v/>
      </c>
      <c r="C7" s="48" t="inlineStr">
        <is>
          <t>Shift handover is a process. Treat it like one.</t>
        </is>
      </c>
      <c r="D7" s="46" t="inlineStr">
        <is>
          <t>Smart Factory &amp; AI</t>
        </is>
      </c>
      <c r="E7" s="49" t="inlineStr">
        <is>
          <t>https://www.mesmatters.com/post/digital-shift-handover</t>
        </is>
      </c>
      <c r="F7" s="46">
        <f>COUNTIFS(Calendar!$A:$A,A7,Calendar!$N:$N,"Posted")</f>
        <v/>
      </c>
    </row>
    <row r="8" ht="15" customHeight="1" s="27">
      <c r="A8" s="46" t="n">
        <v>7</v>
      </c>
      <c r="B8" s="47">
        <f>'How to use'!$B$3+42</f>
        <v/>
      </c>
      <c r="C8" s="48" t="inlineStr">
        <is>
          <t>The smart factory tech stack, system by system</t>
        </is>
      </c>
      <c r="D8" s="46" t="inlineStr">
        <is>
          <t>Foundations</t>
        </is>
      </c>
      <c r="E8" s="49" t="inlineStr">
        <is>
          <t>https://www.mesmatters.com/post/smart-factory-tech-stack</t>
        </is>
      </c>
      <c r="F8" s="46">
        <f>COUNTIFS(Calendar!$A:$A,A8,Calendar!$N:$N,"Posted")</f>
        <v/>
      </c>
    </row>
    <row r="9" ht="15" customHeight="1" s="27">
      <c r="A9" s="46" t="n">
        <v>8</v>
      </c>
      <c r="B9" s="47">
        <f>'How to use'!$B$3+49</f>
        <v/>
      </c>
      <c r="C9" s="48" t="inlineStr">
        <is>
          <t>MES vs MOM: why the difference matters when you buy</t>
        </is>
      </c>
      <c r="D9" s="46" t="inlineStr">
        <is>
          <t>Foundations</t>
        </is>
      </c>
      <c r="E9" s="49" t="inlineStr">
        <is>
          <t>https://www.mesmatters.com/post/mes-vs-mom</t>
        </is>
      </c>
      <c r="F9" s="46">
        <f>COUNTIFS(Calendar!$A:$A,A9,Calendar!$N:$N,"Posted")</f>
        <v/>
      </c>
    </row>
    <row r="10" ht="15" customHeight="1" s="27">
      <c r="A10" s="46" t="n">
        <v>9</v>
      </c>
      <c r="B10" s="47">
        <f>'How to use'!$B$3+56</f>
        <v/>
      </c>
      <c r="C10" s="48" t="inlineStr">
        <is>
          <t>EBOM, MBOM, as-built: who owns the BOM at each stage</t>
        </is>
      </c>
      <c r="D10" s="46" t="inlineStr">
        <is>
          <t>Foundations</t>
        </is>
      </c>
      <c r="E10" s="49" t="inlineStr">
        <is>
          <t>https://www.mesmatters.com/post/ebom-mbom-as-built</t>
        </is>
      </c>
      <c r="F10" s="46">
        <f>COUNTIFS(Calendar!$A:$A,A10,Calendar!$N:$N,"Posted")</f>
        <v/>
      </c>
    </row>
    <row r="11" ht="15" customHeight="1" s="27">
      <c r="A11" s="46" t="n">
        <v>10</v>
      </c>
      <c r="B11" s="47">
        <f>'How to use'!$B$3+63</f>
        <v/>
      </c>
      <c r="C11" s="48" t="inlineStr">
        <is>
          <t>Raw machine data is worthless. Context is what makes it useful</t>
        </is>
      </c>
      <c r="D11" s="46" t="inlineStr">
        <is>
          <t>Smart Factory &amp; AI</t>
        </is>
      </c>
      <c r="E11" s="49" t="inlineStr">
        <is>
          <t>https://www.mesmatters.com/post/contextualised-manufacturing-data</t>
        </is>
      </c>
      <c r="F11" s="46">
        <f>COUNTIFS(Calendar!$A:$A,A11,Calendar!$N:$N,"Posted")</f>
        <v/>
      </c>
    </row>
    <row r="12" ht="15" customHeight="1" s="27">
      <c r="A12" s="46" t="n">
        <v>11</v>
      </c>
      <c r="B12" s="47">
        <f>'How to use'!$B$3+70</f>
        <v/>
      </c>
      <c r="C12" s="48" t="inlineStr">
        <is>
          <t>How to build an MES business case leadership will sign</t>
        </is>
      </c>
      <c r="D12" s="46" t="inlineStr">
        <is>
          <t>Implementation</t>
        </is>
      </c>
      <c r="E12" s="49" t="inlineStr">
        <is>
          <t>https://www.mesmatters.com/post/mes-business-case</t>
        </is>
      </c>
      <c r="F12" s="46">
        <f>COUNTIFS(Calendar!$A:$A,A12,Calendar!$N:$N,"Posted")</f>
        <v/>
      </c>
    </row>
    <row r="13" ht="15" customHeight="1" s="27">
      <c r="A13" s="46" t="n">
        <v>12</v>
      </c>
      <c r="B13" s="47">
        <f>'How to use'!$B$3+77</f>
        <v/>
      </c>
      <c r="C13" s="48" t="inlineStr">
        <is>
          <t>The biggest barriers to MES success in food manufacturing</t>
        </is>
      </c>
      <c r="D13" s="46" t="inlineStr">
        <is>
          <t>Implementation</t>
        </is>
      </c>
      <c r="E13" s="49" t="inlineStr">
        <is>
          <t>https://www.mesmatters.com/post/food-manufacturing-mes-barriers</t>
        </is>
      </c>
      <c r="F13" s="46">
        <f>COUNTIFS(Calendar!$A:$A,A13,Calendar!$N:$N,"Posted")</f>
        <v/>
      </c>
    </row>
    <row r="14" ht="23.25" customHeight="1" s="27">
      <c r="A14" s="46" t="n">
        <v>13</v>
      </c>
      <c r="B14" s="47">
        <f>'How to use'!$B$3+84</f>
        <v/>
      </c>
      <c r="C14" s="48" t="inlineStr">
        <is>
          <t>From CPQ to the shopfloor: building what the customer actually configured</t>
        </is>
      </c>
      <c r="D14" s="46" t="inlineStr">
        <is>
          <t>Foundations</t>
        </is>
      </c>
      <c r="E14" s="49" t="inlineStr">
        <is>
          <t>https://www.mesmatters.com/post/cpq-to-shopfloor</t>
        </is>
      </c>
      <c r="F14" s="46">
        <f>COUNTIFS(Calendar!$A:$A,A14,Calendar!$N:$N,"Posted")</f>
        <v/>
      </c>
    </row>
    <row r="15" ht="15" customHeight="1" s="27">
      <c r="A15" s="46" t="n">
        <v>14</v>
      </c>
      <c r="B15" s="47">
        <f>'How to use'!$B$3+91</f>
        <v/>
      </c>
      <c r="C15" s="48" t="inlineStr">
        <is>
          <t>Skills you can enforce, not just record</t>
        </is>
      </c>
      <c r="D15" s="46" t="inlineStr">
        <is>
          <t>Smart Factory &amp; AI</t>
        </is>
      </c>
      <c r="E15" s="49" t="inlineStr">
        <is>
          <t>https://www.mesmatters.com/post/skills-enforcement-shopfloor</t>
        </is>
      </c>
      <c r="F15" s="46">
        <f>COUNTIFS(Calendar!$A:$A,A15,Calendar!$N:$N,"Posted")</f>
        <v/>
      </c>
    </row>
    <row r="16" ht="15" customHeight="1" s="27">
      <c r="A16" s="46" t="n">
        <v>15</v>
      </c>
      <c r="B16" s="47">
        <f>'How to use'!$B$3+98</f>
        <v/>
      </c>
      <c r="C16" s="48" t="inlineStr">
        <is>
          <t>Practical GenAI for the shopfloor: four uses that save time today</t>
        </is>
      </c>
      <c r="D16" s="46" t="inlineStr">
        <is>
          <t>Smart Factory &amp; AI</t>
        </is>
      </c>
      <c r="E16" s="49" t="inlineStr">
        <is>
          <t>https://www.mesmatters.com/post/practical-genai-for-the-shopfloor</t>
        </is>
      </c>
      <c r="F16" s="46">
        <f>COUNTIFS(Calendar!$A:$A,A16,Calendar!$N:$N,"Posted")</f>
        <v/>
      </c>
    </row>
    <row r="17" ht="15" customHeight="1" s="27">
      <c r="A17" s="46" t="n">
        <v>16</v>
      </c>
      <c r="B17" s="47">
        <f>'How to use'!$B$3+105</f>
        <v/>
      </c>
      <c r="C17" s="48" t="inlineStr">
        <is>
          <t>WMS, MES and ERP: who owns inventory once it reaches the line?</t>
        </is>
      </c>
      <c r="D17" s="46" t="inlineStr">
        <is>
          <t>Foundations</t>
        </is>
      </c>
      <c r="E17" s="49" t="inlineStr">
        <is>
          <t>https://www.mesmatters.com/post/wms-vs-mes-inventory</t>
        </is>
      </c>
      <c r="F17" s="46">
        <f>COUNTIFS(Calendar!$A:$A,A17,Calendar!$N:$N,"Posted")</f>
        <v/>
      </c>
    </row>
    <row r="18" ht="15" customHeight="1" s="27">
      <c r="A18" s="46" t="n">
        <v>17</v>
      </c>
      <c r="B18" s="47">
        <f>'How to use'!$B$3+112</f>
        <v/>
      </c>
      <c r="C18" s="48" t="inlineStr">
        <is>
          <t>IIoT doesn't replace MES. Here's why.</t>
        </is>
      </c>
      <c r="D18" s="46" t="inlineStr">
        <is>
          <t>Foundations</t>
        </is>
      </c>
      <c r="E18" s="49" t="inlineStr">
        <is>
          <t>https://www.mesmatters.com/post/iiot-vs-mes</t>
        </is>
      </c>
      <c r="F18" s="46">
        <f>COUNTIFS(Calendar!$A:$A,A18,Calendar!$N:$N,"Posted")</f>
        <v/>
      </c>
    </row>
    <row r="19" ht="15" customHeight="1" s="27">
      <c r="A19" s="46" t="n">
        <v>18</v>
      </c>
      <c r="B19" s="47">
        <f>'How to use'!$B$3+119</f>
        <v/>
      </c>
      <c r="C19" s="48" t="inlineStr">
        <is>
          <t>Configure, don't customise</t>
        </is>
      </c>
      <c r="D19" s="46" t="inlineStr">
        <is>
          <t>Implementation</t>
        </is>
      </c>
      <c r="E19" s="49" t="inlineStr">
        <is>
          <t>https://www.mesmatters.com/post/configure-dont-customise</t>
        </is>
      </c>
      <c r="F19" s="46">
        <f>COUNTIFS(Calendar!$A:$A,A19,Calendar!$N:$N,"Posted")</f>
        <v/>
      </c>
    </row>
    <row r="20" ht="15" customHeight="1" s="27">
      <c r="A20" s="46" t="n">
        <v>19</v>
      </c>
      <c r="B20" s="47">
        <f>'How to use'!$B$3+126</f>
        <v/>
      </c>
      <c r="C20" s="48" t="inlineStr">
        <is>
          <t>ERP, APS and MES scheduling: the plan versus the shift</t>
        </is>
      </c>
      <c r="D20" s="46" t="inlineStr">
        <is>
          <t>Foundations</t>
        </is>
      </c>
      <c r="E20" s="49" t="inlineStr">
        <is>
          <t>https://www.mesmatters.com/post/aps-vs-mes-scheduling</t>
        </is>
      </c>
      <c r="F20" s="46">
        <f>COUNTIFS(Calendar!$A:$A,A20,Calendar!$N:$N,"Posted")</f>
        <v/>
      </c>
    </row>
    <row r="21" ht="15" customHeight="1" s="27">
      <c r="A21" s="46" t="n">
        <v>20</v>
      </c>
      <c r="B21" s="47">
        <f>'How to use'!$B$3+133</f>
        <v/>
      </c>
      <c r="C21" s="48" t="inlineStr">
        <is>
          <t>Digital work instructions that know what's running</t>
        </is>
      </c>
      <c r="D21" s="46" t="inlineStr">
        <is>
          <t>Smart Factory &amp; AI</t>
        </is>
      </c>
      <c r="E21" s="49" t="inlineStr">
        <is>
          <t>https://www.mesmatters.com/post/digital-work-instructions</t>
        </is>
      </c>
      <c r="F21" s="46">
        <f>COUNTIFS(Calendar!$A:$A,A21,Calendar!$N:$N,"Posted")</f>
        <v/>
      </c>
    </row>
    <row r="22" ht="15" customHeight="1" s="27">
      <c r="A22" s="46" t="n">
        <v>21</v>
      </c>
      <c r="B22" s="47">
        <f>'How to use'!$B$3+140</f>
        <v/>
      </c>
      <c r="C22" s="48" t="inlineStr">
        <is>
          <t>Predictive maintenance needs data you probably aren't collecting yet</t>
        </is>
      </c>
      <c r="D22" s="46" t="inlineStr">
        <is>
          <t>Smart Factory &amp; AI</t>
        </is>
      </c>
      <c r="E22" s="49" t="inlineStr">
        <is>
          <t>https://www.mesmatters.com/post/predictive-maintenance-data</t>
        </is>
      </c>
      <c r="F22" s="46">
        <f>COUNTIFS(Calendar!$A:$A,A22,Calendar!$N:$N,"Posted")</f>
        <v/>
      </c>
    </row>
    <row r="23" ht="15" customHeight="1" s="27">
      <c r="A23" s="46" t="n">
        <v>22</v>
      </c>
      <c r="B23" s="47">
        <f>'How to use'!$B$3+147</f>
        <v/>
      </c>
      <c r="C23" s="48" t="inlineStr">
        <is>
          <t>QMS and MES: closing the quality loop</t>
        </is>
      </c>
      <c r="D23" s="46" t="inlineStr">
        <is>
          <t>Foundations</t>
        </is>
      </c>
      <c r="E23" s="49" t="inlineStr">
        <is>
          <t>https://www.mesmatters.com/post/qms-and-mes-quality</t>
        </is>
      </c>
      <c r="F23" s="46">
        <f>COUNTIFS(Calendar!$A:$A,A23,Calendar!$N:$N,"Posted")</f>
        <v/>
      </c>
    </row>
    <row r="24" ht="15" customHeight="1" s="27">
      <c r="A24" s="46" t="n">
        <v>23</v>
      </c>
      <c r="B24" s="47">
        <f>'How to use'!$B$3+154</f>
        <v/>
      </c>
      <c r="C24" s="48" t="inlineStr">
        <is>
          <t>Your traceability probably isn't as good as you think</t>
        </is>
      </c>
      <c r="D24" s="46" t="inlineStr">
        <is>
          <t>Foundations</t>
        </is>
      </c>
      <c r="E24" s="49" t="inlineStr">
        <is>
          <t>https://www.mesmatters.com/post/manufacturing-traceability</t>
        </is>
      </c>
      <c r="F24" s="46">
        <f>COUNTIFS(Calendar!$A:$A,A24,Calendar!$N:$N,"Posted")</f>
        <v/>
      </c>
    </row>
    <row r="25" ht="15" customHeight="1" s="27">
      <c r="A25" s="46" t="n">
        <v>24</v>
      </c>
      <c r="B25" s="47">
        <f>'How to use'!$B$3+161</f>
        <v/>
      </c>
      <c r="C25" s="48" t="inlineStr">
        <is>
          <t>How to choose an MES: 12 questions to ask every vendor</t>
        </is>
      </c>
      <c r="D25" s="46" t="inlineStr">
        <is>
          <t>Implementation</t>
        </is>
      </c>
      <c r="E25" s="49" t="inlineStr">
        <is>
          <t>https://www.mesmatters.com/post/how-to-choose-an-mes</t>
        </is>
      </c>
      <c r="F25" s="46">
        <f>COUNTIFS(Calendar!$A:$A,A25,Calendar!$N:$N,"Posted")</f>
        <v/>
      </c>
    </row>
    <row r="26" ht="15" customHeight="1" s="27">
      <c r="A26" s="46" t="n">
        <v>25</v>
      </c>
      <c r="B26" s="47">
        <f>'How to use'!$B$3+168</f>
        <v/>
      </c>
      <c r="C26" s="48" t="inlineStr">
        <is>
          <t>SPC on the shopfloor: catch the drift before it becomes scrap</t>
        </is>
      </c>
      <c r="D26" s="46" t="inlineStr">
        <is>
          <t>Foundations</t>
        </is>
      </c>
      <c r="E26" s="49" t="inlineStr">
        <is>
          <t>https://www.mesmatters.com/post/spc-on-the-shopfloor</t>
        </is>
      </c>
      <c r="F26" s="46">
        <f>COUNTIFS(Calendar!$A:$A,A26,Calendar!$N:$N,"Posted")</f>
        <v/>
      </c>
    </row>
    <row r="27" ht="15" customHeight="1" s="27">
      <c r="A27" s="46" t="n">
        <v>26</v>
      </c>
      <c r="B27" s="47">
        <f>'How to use'!$B$3+175</f>
        <v/>
      </c>
      <c r="C27" s="48" t="inlineStr">
        <is>
          <t>AI for the frontline: copilots, shift summaries and coaching</t>
        </is>
      </c>
      <c r="D27" s="46" t="inlineStr">
        <is>
          <t>Smart Factory &amp; AI</t>
        </is>
      </c>
      <c r="E27" s="49" t="inlineStr">
        <is>
          <t>https://www.mesmatters.com/post/ai-for-frontline-workers</t>
        </is>
      </c>
      <c r="F27" s="46">
        <f>COUNTIFS(Calendar!$A:$A,A27,Calendar!$N:$N,"Posted")</f>
        <v/>
      </c>
    </row>
    <row r="28" ht="15" customHeight="1" s="27">
      <c r="A28" s="46" t="n">
        <v>27</v>
      </c>
      <c r="B28" s="47">
        <f>'How to use'!$B$3+182</f>
        <v/>
      </c>
      <c r="C28" s="48" t="inlineStr">
        <is>
          <t>Eight smart manufacturing myths that refuse to die</t>
        </is>
      </c>
      <c r="D28" s="46" t="inlineStr">
        <is>
          <t>Smart Factory &amp; AI</t>
        </is>
      </c>
      <c r="E28" s="49" t="inlineStr">
        <is>
          <t>https://www.mesmatters.com/post/smart-manufacturing-myths</t>
        </is>
      </c>
      <c r="F28" s="46">
        <f>COUNTIFS(Calendar!$A:$A,A28,Calendar!$N:$N,"Posted")</f>
        <v/>
      </c>
    </row>
    <row r="29" ht="15" customHeight="1" s="27">
      <c r="A29" s="46" t="n">
        <v>28</v>
      </c>
      <c r="B29" s="47">
        <f>'How to use'!$B$3+189</f>
        <v/>
      </c>
      <c r="C29" s="48" t="inlineStr">
        <is>
          <t>EAM, CMMS and MES: who owns the maintenance work order?</t>
        </is>
      </c>
      <c r="D29" s="46" t="inlineStr">
        <is>
          <t>Foundations</t>
        </is>
      </c>
      <c r="E29" s="49" t="inlineStr">
        <is>
          <t>https://www.mesmatters.com/post/eam-cmms-and-mes</t>
        </is>
      </c>
      <c r="F29" s="46">
        <f>COUNTIFS(Calendar!$A:$A,A29,Calendar!$N:$N,"Posted")</f>
        <v/>
      </c>
    </row>
    <row r="30" ht="15" customHeight="1" s="27">
      <c r="A30" s="46" t="n">
        <v>29</v>
      </c>
      <c r="B30" s="47">
        <f>'How to use'!$B$3+196</f>
        <v/>
      </c>
      <c r="C30" s="48" t="inlineStr">
        <is>
          <t>MES functionality: maintenance</t>
        </is>
      </c>
      <c r="D30" s="46" t="inlineStr">
        <is>
          <t>Foundations</t>
        </is>
      </c>
      <c r="E30" s="49" t="inlineStr">
        <is>
          <t>https://www.mesmatters.com/post/mes-functionality-maintenance</t>
        </is>
      </c>
      <c r="F30" s="46">
        <f>COUNTIFS(Calendar!$A:$A,A30,Calendar!$N:$N,"Posted")</f>
        <v/>
      </c>
    </row>
    <row r="31" ht="15" customHeight="1" s="27">
      <c r="A31" s="46" t="n">
        <v>30</v>
      </c>
      <c r="B31" s="47">
        <f>'How to use'!$B$3+203</f>
        <v/>
      </c>
      <c r="C31" s="48" t="inlineStr">
        <is>
          <t>Resistance to change is guaranteed. Plan for it.</t>
        </is>
      </c>
      <c r="D31" s="46" t="inlineStr">
        <is>
          <t>Implementation</t>
        </is>
      </c>
      <c r="E31" s="49" t="inlineStr">
        <is>
          <t>https://www.mesmatters.com/post/manufacturing-change-management</t>
        </is>
      </c>
      <c r="F31" s="46">
        <f>COUNTIFS(Calendar!$A:$A,A31,Calendar!$N:$N,"Posted")</f>
        <v/>
      </c>
    </row>
    <row r="32" ht="23.25" customHeight="1" s="27">
      <c r="A32" s="46" t="n">
        <v>31</v>
      </c>
      <c r="B32" s="47">
        <f>'How to use'!$B$3+210</f>
        <v/>
      </c>
      <c r="C32" s="48" t="inlineStr">
        <is>
          <t>LIMS and MES: getting lab results to the line before the batch moves on</t>
        </is>
      </c>
      <c r="D32" s="46" t="inlineStr">
        <is>
          <t>Foundations</t>
        </is>
      </c>
      <c r="E32" s="49" t="inlineStr">
        <is>
          <t>https://www.mesmatters.com/post/lims-and-mes</t>
        </is>
      </c>
      <c r="F32" s="46">
        <f>COUNTIFS(Calendar!$A:$A,A32,Calendar!$N:$N,"Posted")</f>
        <v/>
      </c>
    </row>
    <row r="33" ht="15" customHeight="1" s="27">
      <c r="A33" s="46" t="n">
        <v>32</v>
      </c>
      <c r="B33" s="47">
        <f>'How to use'!$B$3+217</f>
        <v/>
      </c>
      <c r="C33" s="48" t="inlineStr">
        <is>
          <t>Agentic AI and MCP, explained for people who run factories</t>
        </is>
      </c>
      <c r="D33" s="46" t="inlineStr">
        <is>
          <t>Smart Factory &amp; AI</t>
        </is>
      </c>
      <c r="E33" s="49" t="inlineStr">
        <is>
          <t>https://www.mesmatters.com/post/agentic-ai-mcp-manufacturing</t>
        </is>
      </c>
      <c r="F33" s="46">
        <f>COUNTIFS(Calendar!$A:$A,A33,Calendar!$N:$N,"Posted")</f>
        <v/>
      </c>
    </row>
    <row r="34" ht="15" customHeight="1" s="27">
      <c r="A34" s="46" t="n">
        <v>33</v>
      </c>
      <c r="B34" s="47">
        <f>'How to use'!$B$3+224</f>
        <v/>
      </c>
      <c r="C34" s="48" t="inlineStr">
        <is>
          <t>Manufacturing KPIs beyond OEE</t>
        </is>
      </c>
      <c r="D34" s="46" t="inlineStr">
        <is>
          <t>Foundations</t>
        </is>
      </c>
      <c r="E34" s="49" t="inlineStr">
        <is>
          <t>https://www.mesmatters.com/post/manufacturing-kpis-beyond-oee</t>
        </is>
      </c>
      <c r="F34" s="46">
        <f>COUNTIFS(Calendar!$A:$A,A34,Calendar!$N:$N,"Posted")</f>
        <v/>
      </c>
    </row>
    <row r="35" ht="15" customHeight="1" s="27">
      <c r="A35" s="46" t="n">
        <v>34</v>
      </c>
      <c r="B35" s="47">
        <f>'How to use'!$B$3+231</f>
        <v/>
      </c>
      <c r="C35" s="48" t="inlineStr">
        <is>
          <t>Connecting MES/MOM to everything else: integration patterns that last</t>
        </is>
      </c>
      <c r="D35" s="46" t="inlineStr">
        <is>
          <t>Implementation</t>
        </is>
      </c>
      <c r="E35" s="49" t="inlineStr">
        <is>
          <t>https://www.mesmatters.com/post/isa95-integration-patterns</t>
        </is>
      </c>
      <c r="F35" s="46">
        <f>COUNTIFS(Calendar!$A:$A,A35,Calendar!$N:$N,"Posted")</f>
        <v/>
      </c>
    </row>
    <row r="36" ht="15" customHeight="1" s="27">
      <c r="A36" s="46" t="n">
        <v>35</v>
      </c>
      <c r="B36" s="47">
        <f>'How to use'!$B$3+238</f>
        <v/>
      </c>
      <c r="C36" s="48" t="inlineStr">
        <is>
          <t>Six technology mistakes that sink smart factory projects</t>
        </is>
      </c>
      <c r="D36" s="46" t="inlineStr">
        <is>
          <t>Implementation</t>
        </is>
      </c>
      <c r="E36" s="49" t="inlineStr">
        <is>
          <t>https://www.mesmatters.com/post/smart-factory-technology-mistakes</t>
        </is>
      </c>
      <c r="F36" s="46">
        <f>COUNTIFS(Calendar!$A:$A,A36,Calendar!$N:$N,"Posted")</f>
        <v/>
      </c>
    </row>
    <row r="37" ht="15" customHeight="1" s="27">
      <c r="A37" s="46" t="n">
        <v>36</v>
      </c>
      <c r="B37" s="47">
        <f>'How to use'!$B$3+245</f>
        <v/>
      </c>
      <c r="C37" s="48" t="inlineStr">
        <is>
          <t>Digital twins run on shopfloor data. MES/MOM is where it comes from</t>
        </is>
      </c>
      <c r="D37" s="46" t="inlineStr">
        <is>
          <t>Smart Factory &amp; AI</t>
        </is>
      </c>
      <c r="E37" s="49" t="inlineStr">
        <is>
          <t>https://www.shopfloormatters.com/post/mes-and-digital-twins</t>
        </is>
      </c>
      <c r="F37" s="46">
        <f>COUNTIFS(Calendar!$A:$A,A37,Calendar!$N:$N,"Posted")</f>
        <v/>
      </c>
    </row>
    <row r="38" ht="15" customHeight="1" s="27">
      <c r="A38" s="46" t="n">
        <v>37</v>
      </c>
      <c r="B38" s="47">
        <f>'How to use'!$B$3+252</f>
        <v/>
      </c>
      <c r="C38" s="48" t="inlineStr">
        <is>
          <t>OT cybersecurity for MES/MOM: what operations leaders need to know</t>
        </is>
      </c>
      <c r="D38" s="46" t="inlineStr">
        <is>
          <t>Implementation</t>
        </is>
      </c>
      <c r="E38" s="49" t="inlineStr">
        <is>
          <t>https://www.mesmatters.com/post/ot-cybersecurity-for-mes</t>
        </is>
      </c>
      <c r="F38" s="46">
        <f>COUNTIFS(Calendar!$A:$A,A38,Calendar!$N:$N,"Posted")</f>
        <v/>
      </c>
    </row>
    <row r="39" ht="15" customHeight="1" s="27">
      <c r="A39" s="46" t="n">
        <v>38</v>
      </c>
      <c r="B39" s="47">
        <f>'How to use'!$B$3+259</f>
        <v/>
      </c>
      <c r="C39" s="48" t="inlineStr">
        <is>
          <t>OPC UA, MQTT and UNS in plain English</t>
        </is>
      </c>
      <c r="D39" s="46" t="inlineStr">
        <is>
          <t>Foundations</t>
        </is>
      </c>
      <c r="E39" s="49" t="inlineStr">
        <is>
          <t>https://www.mesmatters.com/post/opc-ua-mqtt-uns-explained</t>
        </is>
      </c>
      <c r="F39" s="46">
        <f>COUNTIFS(Calendar!$A:$A,A39,Calendar!$N:$N,"Posted")</f>
        <v/>
      </c>
    </row>
    <row r="40" ht="15" customHeight="1" s="27">
      <c r="A40" s="46" t="n">
        <v>39</v>
      </c>
      <c r="B40" s="47">
        <f>'How to use'!$B$3+266</f>
        <v/>
      </c>
      <c r="C40" s="48" t="inlineStr">
        <is>
          <t>Your ERP master data isn't ready for MES</t>
        </is>
      </c>
      <c r="D40" s="46" t="inlineStr">
        <is>
          <t>Implementation</t>
        </is>
      </c>
      <c r="E40" s="49" t="inlineStr">
        <is>
          <t>https://www.mesmatters.com/post/erp-master-data-for-mes</t>
        </is>
      </c>
      <c r="F40" s="46">
        <f>COUNTIFS(Calendar!$A:$A,A40,Calendar!$N:$N,"Posted")</f>
        <v/>
      </c>
    </row>
    <row r="41" ht="23.25" customHeight="1" s="27">
      <c r="A41" s="46" t="n">
        <v>40</v>
      </c>
      <c r="B41" s="47">
        <f>'How to use'!$B$3+273</f>
        <v/>
      </c>
      <c r="C41" s="48" t="inlineStr">
        <is>
          <t>MES/MOM in regulated industries: pharma, medical devices, aerospace and automotive</t>
        </is>
      </c>
      <c r="D41" s="46" t="inlineStr">
        <is>
          <t>Foundations</t>
        </is>
      </c>
      <c r="E41" s="49" t="inlineStr">
        <is>
          <t>https://www.mesmatters.com/post/mes-in-regulated-industries</t>
        </is>
      </c>
      <c r="F41" s="46">
        <f>COUNTIFS(Calendar!$A:$A,A41,Calendar!$N:$N,"Posted")</f>
        <v/>
      </c>
    </row>
    <row r="42" ht="15" customHeight="1" s="27">
      <c r="A42" s="46" t="n">
        <v>41</v>
      </c>
      <c r="B42" s="47">
        <f>'How to use'!$B$3+280</f>
        <v/>
      </c>
      <c r="C42" s="48" t="inlineStr">
        <is>
          <t>You can't hit ESG targets without shopfloor data</t>
        </is>
      </c>
      <c r="D42" s="46" t="inlineStr">
        <is>
          <t>Smart Factory &amp; AI</t>
        </is>
      </c>
      <c r="E42" s="49" t="inlineStr">
        <is>
          <t>https://www.mesmatters.com/post/esg-needs-shopfloor-data</t>
        </is>
      </c>
      <c r="F42" s="46">
        <f>COUNTIFS(Calendar!$A:$A,A42,Calendar!$N:$N,"Posted")</f>
        <v/>
      </c>
    </row>
    <row r="43" ht="15" customHeight="1" s="27">
      <c r="A43" s="46" t="n">
        <v>42</v>
      </c>
      <c r="B43" s="47">
        <f>'How to use'!$B$3+287</f>
        <v/>
      </c>
      <c r="C43" s="48" t="inlineStr">
        <is>
          <t>MES functionality: tooling</t>
        </is>
      </c>
      <c r="D43" s="46" t="inlineStr">
        <is>
          <t>Foundations</t>
        </is>
      </c>
      <c r="E43" s="49" t="inlineStr">
        <is>
          <t>https://www.mesmatters.com/post/mes-functionality-tooling</t>
        </is>
      </c>
      <c r="F43" s="46">
        <f>COUNTIFS(Calendar!$A:$A,A43,Calendar!$N:$N,"Posted")</f>
        <v/>
      </c>
    </row>
    <row r="44" ht="15" customHeight="1" s="27">
      <c r="A44" s="46" t="n">
        <v>43</v>
      </c>
      <c r="B44" s="47">
        <f>'How to use'!$B$3+294</f>
        <v/>
      </c>
      <c r="C44" s="48" t="inlineStr">
        <is>
          <t>Closing the loop: service data back to the shopfloor and engineering</t>
        </is>
      </c>
      <c r="D44" s="46" t="inlineStr">
        <is>
          <t>Smart Factory &amp; AI</t>
        </is>
      </c>
      <c r="E44" s="49" t="inlineStr">
        <is>
          <t>https://www.mesmatters.com/post/service-data-back-to-engineering</t>
        </is>
      </c>
      <c r="F44" s="46">
        <f>COUNTIFS(Calendar!$A:$A,A44,Calendar!$N:$N,"Posted")</f>
        <v/>
      </c>
    </row>
    <row r="45" ht="15" customHeight="1" s="27">
      <c r="A45" s="46" t="n">
        <v>44</v>
      </c>
      <c r="B45" s="47">
        <f>'How to use'!$B$3+301</f>
        <v/>
      </c>
      <c r="C45" s="48" t="inlineStr">
        <is>
          <t>Replacing a homegrown MES: the people problem nobody plans for</t>
        </is>
      </c>
      <c r="D45" s="46" t="inlineStr">
        <is>
          <t>Implementation</t>
        </is>
      </c>
      <c r="E45" s="49" t="inlineStr">
        <is>
          <t>https://www.mesmatters.com/post/replacing-a-homegrown-mes</t>
        </is>
      </c>
      <c r="F45" s="46">
        <f>COUNTIFS(Calendar!$A:$A,A45,Calendar!$N:$N,"Posted")</f>
        <v/>
      </c>
    </row>
    <row r="46" ht="15" customHeight="1" s="27">
      <c r="A46" s="46" t="n">
        <v>45</v>
      </c>
      <c r="B46" s="47">
        <f>'How to use'!$B$3+308</f>
        <v/>
      </c>
      <c r="C46" s="48" t="inlineStr">
        <is>
          <t>What the research says about smart factory ROI</t>
        </is>
      </c>
      <c r="D46" s="46" t="inlineStr">
        <is>
          <t>Smart Factory &amp; AI</t>
        </is>
      </c>
      <c r="E46" s="49" t="inlineStr">
        <is>
          <t>https://www.mesmatters.com/post/smart-factory-roi-research</t>
        </is>
      </c>
      <c r="F46" s="46">
        <f>COUNTIFS(Calendar!$A:$A,A46,Calendar!$N:$N,"Posted")</f>
        <v/>
      </c>
    </row>
    <row r="47" ht="15" customHeight="1" s="27">
      <c r="A47" s="46" t="n">
        <v>46</v>
      </c>
      <c r="B47" s="47">
        <f>'How to use'!$B$3+315</f>
        <v/>
      </c>
      <c r="C47" s="48" t="inlineStr">
        <is>
          <t>Cloud, on-premises or hybrid: where should your MES run?</t>
        </is>
      </c>
      <c r="D47" s="46" t="inlineStr">
        <is>
          <t>Foundations</t>
        </is>
      </c>
      <c r="E47" s="49" t="inlineStr">
        <is>
          <t>https://www.mesmatters.com/post/cloud-vs-on-premises-mes</t>
        </is>
      </c>
      <c r="F47" s="46">
        <f>COUNTIFS(Calendar!$A:$A,A47,Calendar!$N:$N,"Posted")</f>
        <v/>
      </c>
    </row>
    <row r="48" ht="15" customHeight="1" s="27">
      <c r="A48" s="46" t="n">
        <v>47</v>
      </c>
      <c r="B48" s="47">
        <f>'How to use'!$B$3+322</f>
        <v/>
      </c>
      <c r="C48" s="48" t="inlineStr">
        <is>
          <t>How long does an MES implementation take?</t>
        </is>
      </c>
      <c r="D48" s="46" t="inlineStr">
        <is>
          <t>Implementation</t>
        </is>
      </c>
      <c r="E48" s="49" t="inlineStr">
        <is>
          <t>https://www.mesmatters.com/post/how-long-does-mes-implementation-take</t>
        </is>
      </c>
      <c r="F48" s="46">
        <f>COUNTIFS(Calendar!$A:$A,A48,Calendar!$N:$N,"Posted")</f>
        <v/>
      </c>
    </row>
    <row r="49" ht="15" customHeight="1" s="27">
      <c r="A49" s="46" t="n">
        <v>48</v>
      </c>
      <c r="B49" s="47">
        <f>'How to use'!$B$3+329</f>
        <v/>
      </c>
      <c r="C49" s="48" t="inlineStr">
        <is>
          <t>Going paperless: start small, but start with the end in mind</t>
        </is>
      </c>
      <c r="D49" s="46" t="inlineStr">
        <is>
          <t>Implementation</t>
        </is>
      </c>
      <c r="E49" s="49" t="inlineStr">
        <is>
          <t>https://www.mesmatters.com/post/paperless-manufacturing</t>
        </is>
      </c>
      <c r="F49" s="46">
        <f>COUNTIFS(Calendar!$A:$A,A49,Calendar!$N:$N,"Posted")</f>
        <v/>
      </c>
    </row>
    <row r="50" ht="23.25" customHeight="1" s="27">
      <c r="A50" s="46" t="n">
        <v>49</v>
      </c>
      <c r="B50" s="47">
        <f>'How to use'!$B$3+336</f>
        <v/>
      </c>
      <c r="C50" s="48" t="inlineStr">
        <is>
          <t>Discrete, process, batch or mixed-mode: why it changes your MES choice</t>
        </is>
      </c>
      <c r="D50" s="46" t="inlineStr">
        <is>
          <t>Foundations</t>
        </is>
      </c>
      <c r="E50" s="49" t="inlineStr">
        <is>
          <t>https://www.mesmatters.com/post/discrete-vs-process-manufacturing</t>
        </is>
      </c>
      <c r="F50" s="46">
        <f>COUNTIFS(Calendar!$A:$A,A50,Calendar!$N:$N,"Posted")</f>
        <v/>
      </c>
    </row>
    <row r="51" ht="15" customHeight="1" s="27">
      <c r="A51" s="46" t="n">
        <v>50</v>
      </c>
      <c r="B51" s="47">
        <f>'How to use'!$B$3+343</f>
        <v/>
      </c>
      <c r="C51" s="48" t="inlineStr">
        <is>
          <t>MES functionality: energy</t>
        </is>
      </c>
      <c r="D51" s="46" t="inlineStr">
        <is>
          <t>Foundations</t>
        </is>
      </c>
      <c r="E51" s="49" t="inlineStr">
        <is>
          <t>https://www.mesmatters.com/post/mes-functionality-energy</t>
        </is>
      </c>
      <c r="F51" s="46">
        <f>COUNTIFS(Calendar!$A:$A,A51,Calendar!$N:$N,"Posted")</f>
        <v/>
      </c>
    </row>
    <row r="52" ht="15" customHeight="1" s="27">
      <c r="A52" s="46" t="n">
        <v>51</v>
      </c>
      <c r="B52" s="47">
        <f>'How to use'!$B$3+350</f>
        <v/>
      </c>
      <c r="C52" s="48" t="inlineStr">
        <is>
          <t>Process before technology: map your as-is before you buy anything</t>
        </is>
      </c>
      <c r="D52" s="46" t="inlineStr">
        <is>
          <t>Implementation</t>
        </is>
      </c>
      <c r="E52" s="49" t="inlineStr">
        <is>
          <t>https://www.mesmatters.com/post/manufacturing-process-mapping</t>
        </is>
      </c>
      <c r="F52" s="46">
        <f>COUNTIFS(Calendar!$A:$A,A52,Calendar!$N:$N,"Posted")</f>
        <v/>
      </c>
    </row>
    <row r="53" ht="15" customHeight="1" s="27">
      <c r="A53" s="46" t="n">
        <v>52</v>
      </c>
      <c r="B53" s="47">
        <f>'How to use'!$B$3+357</f>
        <v/>
      </c>
      <c r="C53" s="48" t="inlineStr">
        <is>
          <t>Do you need both SCADA and MES?</t>
        </is>
      </c>
      <c r="D53" s="46" t="inlineStr">
        <is>
          <t>Foundations</t>
        </is>
      </c>
      <c r="E53" s="49" t="inlineStr">
        <is>
          <t>https://www.mesmatters.com/post/scada-vs-mes</t>
        </is>
      </c>
      <c r="F53" s="46">
        <f>COUNTIFS(Calendar!$A:$A,A53,Calendar!$N:$N,"Posted")</f>
        <v/>
      </c>
    </row>
    <row r="54" ht="23.25" customHeight="1" s="27">
      <c r="A54" s="46" t="n">
        <v>53</v>
      </c>
      <c r="B54" s="47">
        <f>'How to use'!$B$3+364</f>
        <v/>
      </c>
      <c r="C54" s="48" t="inlineStr">
        <is>
          <t>Rolling out across sites: the centre of excellence and template approach</t>
        </is>
      </c>
      <c r="D54" s="46" t="inlineStr">
        <is>
          <t>Implementation</t>
        </is>
      </c>
      <c r="E54" s="49" t="inlineStr">
        <is>
          <t>https://www.mesmatters.com/post/mes-multi-site-rollout</t>
        </is>
      </c>
      <c r="F54" s="46">
        <f>COUNTIFS(Calendar!$A:$A,A54,Calendar!$N:$N,"Posted")</f>
        <v/>
      </c>
    </row>
    <row r="55" ht="15" customHeight="1" s="27">
      <c r="A55" s="46" t="n">
        <v>54</v>
      </c>
      <c r="B55" s="47">
        <f>'How to use'!$B$3+371</f>
        <v/>
      </c>
      <c r="C55" s="48" t="inlineStr">
        <is>
          <t>Historians, data lakes and data fabric: where shopfloor data lives</t>
        </is>
      </c>
      <c r="D55" s="46" t="inlineStr">
        <is>
          <t>Foundations</t>
        </is>
      </c>
      <c r="E55" s="49" t="inlineStr">
        <is>
          <t>https://www.mesmatters.com/post/manufacturing-data-platforms</t>
        </is>
      </c>
      <c r="F55" s="46">
        <f>COUNTIFS(Calendar!$A:$A,A55,Calendar!$N:$N,"Posted")</f>
        <v/>
      </c>
    </row>
    <row r="56" ht="15" customHeight="1" s="27">
      <c r="A56" s="46" t="n">
        <v>55</v>
      </c>
      <c r="B56" s="47">
        <f>'How to use'!$B$3+378</f>
        <v/>
      </c>
      <c r="C56" s="48" t="inlineStr">
        <is>
          <t>The smart factory glossary</t>
        </is>
      </c>
      <c r="D56" s="46" t="inlineStr">
        <is>
          <t>Foundations</t>
        </is>
      </c>
      <c r="E56" s="49" t="inlineStr">
        <is>
          <t>https://www.mesmatters.com/post/smart-factory-glossary</t>
        </is>
      </c>
      <c r="F56" s="46">
        <f>COUNTIFS(Calendar!$A:$A,A56,Calendar!$N:$N,"Posted")</f>
        <v/>
      </c>
    </row>
    <row r="57" ht="15" customHeight="1" s="27">
      <c r="A57" s="46" t="n">
        <v>56</v>
      </c>
      <c r="B57" s="47">
        <f>'How to use'!$B$3+385</f>
        <v/>
      </c>
      <c r="C57" s="48" t="inlineStr">
        <is>
          <t>Go-live is the starting line</t>
        </is>
      </c>
      <c r="D57" s="46" t="inlineStr">
        <is>
          <t>Implementation</t>
        </is>
      </c>
      <c r="E57" s="49" t="inlineStr">
        <is>
          <t>https://www.mesmatters.com/post/mes-go-live</t>
        </is>
      </c>
      <c r="F57" s="46">
        <f>COUNTIFS(Calendar!$A:$A,A57,Calendar!$N:$N,"Posted")</f>
        <v/>
      </c>
    </row>
  </sheetData>
  <autoFilter ref="A1:F57"/>
  <hyperlinks>
    <hyperlink xmlns:r="http://schemas.openxmlformats.org/officeDocument/2006/relationships" ref="E2" display="https://www.mesmatters.com/post/connected-worker-one-app-not-five" r:id="rId1"/>
    <hyperlink xmlns:r="http://schemas.openxmlformats.org/officeDocument/2006/relationships" ref="E3" display="https://www.mesmatters.com/post/what-is-a-smart-factory" r:id="rId2"/>
    <hyperlink xmlns:r="http://schemas.openxmlformats.org/officeDocument/2006/relationships" ref="E4" display="https://www.mesmatters.com/post/ai-ml-genai-on-the-shopfloor" r:id="rId3"/>
    <hyperlink xmlns:r="http://schemas.openxmlformats.org/officeDocument/2006/relationships" ref="E5" display="https://www.mesmatters.com/post/smart-manufacturing-maturity-model" r:id="rId4"/>
    <hyperlink xmlns:r="http://schemas.openxmlformats.org/officeDocument/2006/relationships" ref="E6" display="https://www.mesmatters.com/post/plm-erp-mes-digital-thread" r:id="rId5"/>
    <hyperlink xmlns:r="http://schemas.openxmlformats.org/officeDocument/2006/relationships" ref="E7" display="https://www.mesmatters.com/post/digital-shift-handover" r:id="rId6"/>
    <hyperlink xmlns:r="http://schemas.openxmlformats.org/officeDocument/2006/relationships" ref="E8" display="https://www.mesmatters.com/post/smart-factory-tech-stack" r:id="rId7"/>
    <hyperlink xmlns:r="http://schemas.openxmlformats.org/officeDocument/2006/relationships" ref="E9" display="https://www.mesmatters.com/post/mes-vs-mom" r:id="rId8"/>
    <hyperlink xmlns:r="http://schemas.openxmlformats.org/officeDocument/2006/relationships" ref="E10" display="https://www.mesmatters.com/post/ebom-mbom-as-built" r:id="rId9"/>
    <hyperlink xmlns:r="http://schemas.openxmlformats.org/officeDocument/2006/relationships" ref="E11" display="https://www.mesmatters.com/post/contextualised-manufacturing-data" r:id="rId10"/>
    <hyperlink xmlns:r="http://schemas.openxmlformats.org/officeDocument/2006/relationships" ref="E12" display="https://www.mesmatters.com/post/mes-business-case" r:id="rId11"/>
    <hyperlink xmlns:r="http://schemas.openxmlformats.org/officeDocument/2006/relationships" ref="E13" display="https://www.mesmatters.com/post/food-manufacturing-mes-barriers" r:id="rId12"/>
    <hyperlink xmlns:r="http://schemas.openxmlformats.org/officeDocument/2006/relationships" ref="E14" display="https://www.mesmatters.com/post/cpq-to-shopfloor" r:id="rId13"/>
    <hyperlink xmlns:r="http://schemas.openxmlformats.org/officeDocument/2006/relationships" ref="E15" display="https://www.mesmatters.com/post/skills-enforcement-shopfloor" r:id="rId14"/>
    <hyperlink xmlns:r="http://schemas.openxmlformats.org/officeDocument/2006/relationships" ref="E16" display="https://www.mesmatters.com/post/practical-genai-for-the-shopfloor" r:id="rId15"/>
    <hyperlink xmlns:r="http://schemas.openxmlformats.org/officeDocument/2006/relationships" ref="E17" display="https://www.mesmatters.com/post/wms-vs-mes-inventory" r:id="rId16"/>
    <hyperlink xmlns:r="http://schemas.openxmlformats.org/officeDocument/2006/relationships" ref="E18" display="https://www.mesmatters.com/post/iiot-vs-mes" r:id="rId17"/>
    <hyperlink xmlns:r="http://schemas.openxmlformats.org/officeDocument/2006/relationships" ref="E19" display="https://www.mesmatters.com/post/configure-dont-customise" r:id="rId18"/>
    <hyperlink xmlns:r="http://schemas.openxmlformats.org/officeDocument/2006/relationships" ref="E20" display="https://www.mesmatters.com/post/aps-vs-mes-scheduling" r:id="rId19"/>
    <hyperlink xmlns:r="http://schemas.openxmlformats.org/officeDocument/2006/relationships" ref="E21" display="https://www.mesmatters.com/post/digital-work-instructions" r:id="rId20"/>
    <hyperlink xmlns:r="http://schemas.openxmlformats.org/officeDocument/2006/relationships" ref="E22" display="https://www.mesmatters.com/post/predictive-maintenance-data" r:id="rId21"/>
    <hyperlink xmlns:r="http://schemas.openxmlformats.org/officeDocument/2006/relationships" ref="E23" display="https://www.mesmatters.com/post/qms-and-mes-quality" r:id="rId22"/>
    <hyperlink xmlns:r="http://schemas.openxmlformats.org/officeDocument/2006/relationships" ref="E24" display="https://www.mesmatters.com/post/manufacturing-traceability" r:id="rId23"/>
    <hyperlink xmlns:r="http://schemas.openxmlformats.org/officeDocument/2006/relationships" ref="E25" display="https://www.mesmatters.com/post/how-to-choose-an-mes" r:id="rId24"/>
    <hyperlink xmlns:r="http://schemas.openxmlformats.org/officeDocument/2006/relationships" ref="E26" display="https://www.mesmatters.com/post/spc-on-the-shopfloor" r:id="rId25"/>
    <hyperlink xmlns:r="http://schemas.openxmlformats.org/officeDocument/2006/relationships" ref="E27" display="https://www.mesmatters.com/post/ai-for-frontline-workers" r:id="rId26"/>
    <hyperlink xmlns:r="http://schemas.openxmlformats.org/officeDocument/2006/relationships" ref="E28" display="https://www.mesmatters.com/post/smart-manufacturing-myths" r:id="rId27"/>
    <hyperlink xmlns:r="http://schemas.openxmlformats.org/officeDocument/2006/relationships" ref="E29" display="https://www.mesmatters.com/post/eam-cmms-and-mes" r:id="rId28"/>
    <hyperlink xmlns:r="http://schemas.openxmlformats.org/officeDocument/2006/relationships" ref="E30" display="https://www.mesmatters.com/post/mes-functionality-maintenance" r:id="rId29"/>
    <hyperlink xmlns:r="http://schemas.openxmlformats.org/officeDocument/2006/relationships" ref="E31" display="https://www.mesmatters.com/post/manufacturing-change-management" r:id="rId30"/>
    <hyperlink xmlns:r="http://schemas.openxmlformats.org/officeDocument/2006/relationships" ref="E32" display="https://www.mesmatters.com/post/lims-and-mes" r:id="rId31"/>
    <hyperlink xmlns:r="http://schemas.openxmlformats.org/officeDocument/2006/relationships" ref="E33" display="https://www.mesmatters.com/post/agentic-ai-mcp-manufacturing" r:id="rId32"/>
    <hyperlink xmlns:r="http://schemas.openxmlformats.org/officeDocument/2006/relationships" ref="E34" display="https://www.mesmatters.com/post/manufacturing-kpis-beyond-oee" r:id="rId33"/>
    <hyperlink xmlns:r="http://schemas.openxmlformats.org/officeDocument/2006/relationships" ref="E35" display="https://www.mesmatters.com/post/isa95-integration-patterns" r:id="rId34"/>
    <hyperlink xmlns:r="http://schemas.openxmlformats.org/officeDocument/2006/relationships" ref="E36" display="https://www.mesmatters.com/post/smart-factory-technology-mistakes" r:id="rId35"/>
    <hyperlink xmlns:r="http://schemas.openxmlformats.org/officeDocument/2006/relationships" ref="E37" display="https://www.mesmatters.com/post/mes-is-a-digital-twin" r:id="rId36"/>
    <hyperlink xmlns:r="http://schemas.openxmlformats.org/officeDocument/2006/relationships" ref="E38" display="https://www.mesmatters.com/post/ot-cybersecurity-for-mes" r:id="rId37"/>
    <hyperlink xmlns:r="http://schemas.openxmlformats.org/officeDocument/2006/relationships" ref="E39" display="https://www.mesmatters.com/post/opc-ua-mqtt-uns-explained" r:id="rId38"/>
    <hyperlink xmlns:r="http://schemas.openxmlformats.org/officeDocument/2006/relationships" ref="E40" display="https://www.mesmatters.com/post/erp-master-data-for-mes" r:id="rId39"/>
    <hyperlink xmlns:r="http://schemas.openxmlformats.org/officeDocument/2006/relationships" ref="E41" display="https://www.mesmatters.com/post/mes-in-regulated-industries" r:id="rId40"/>
    <hyperlink xmlns:r="http://schemas.openxmlformats.org/officeDocument/2006/relationships" ref="E42" display="https://www.mesmatters.com/post/esg-needs-shopfloor-data" r:id="rId41"/>
    <hyperlink xmlns:r="http://schemas.openxmlformats.org/officeDocument/2006/relationships" ref="E43" display="https://www.mesmatters.com/post/mes-functionality-tooling" r:id="rId42"/>
    <hyperlink xmlns:r="http://schemas.openxmlformats.org/officeDocument/2006/relationships" ref="E44" display="https://www.mesmatters.com/post/service-data-back-to-engineering" r:id="rId43"/>
    <hyperlink xmlns:r="http://schemas.openxmlformats.org/officeDocument/2006/relationships" ref="E45" display="https://www.mesmatters.com/post/replacing-a-homegrown-mes" r:id="rId44"/>
    <hyperlink xmlns:r="http://schemas.openxmlformats.org/officeDocument/2006/relationships" ref="E46" display="https://www.mesmatters.com/post/smart-factory-roi-research" r:id="rId45"/>
    <hyperlink xmlns:r="http://schemas.openxmlformats.org/officeDocument/2006/relationships" ref="E47" display="https://www.mesmatters.com/post/cloud-vs-on-premises-mes" r:id="rId46"/>
    <hyperlink xmlns:r="http://schemas.openxmlformats.org/officeDocument/2006/relationships" ref="E48" display="https://www.mesmatters.com/post/how-long-does-mes-implementation-take" r:id="rId47"/>
    <hyperlink xmlns:r="http://schemas.openxmlformats.org/officeDocument/2006/relationships" ref="E49" display="https://www.mesmatters.com/post/paperless-manufacturing" r:id="rId48"/>
    <hyperlink xmlns:r="http://schemas.openxmlformats.org/officeDocument/2006/relationships" ref="E50" display="https://www.mesmatters.com/post/discrete-vs-process-manufacturing" r:id="rId49"/>
    <hyperlink xmlns:r="http://schemas.openxmlformats.org/officeDocument/2006/relationships" ref="E51" display="https://www.mesmatters.com/post/mes-functionality-energy" r:id="rId50"/>
    <hyperlink xmlns:r="http://schemas.openxmlformats.org/officeDocument/2006/relationships" ref="E52" display="https://www.mesmatters.com/post/manufacturing-process-mapping" r:id="rId51"/>
    <hyperlink xmlns:r="http://schemas.openxmlformats.org/officeDocument/2006/relationships" ref="E53" display="https://www.mesmatters.com/post/scada-vs-mes" r:id="rId52"/>
    <hyperlink xmlns:r="http://schemas.openxmlformats.org/officeDocument/2006/relationships" ref="E54" display="https://www.mesmatters.com/post/mes-multi-site-rollout" r:id="rId53"/>
    <hyperlink xmlns:r="http://schemas.openxmlformats.org/officeDocument/2006/relationships" ref="E55" display="https://www.mesmatters.com/post/manufacturing-data-platforms" r:id="rId54"/>
    <hyperlink xmlns:r="http://schemas.openxmlformats.org/officeDocument/2006/relationships" ref="E56" display="https://www.mesmatters.com/post/smart-factory-glossary" r:id="rId55"/>
    <hyperlink xmlns:r="http://schemas.openxmlformats.org/officeDocument/2006/relationships" ref="E57" display="https://www.mesmatters.com/post/mes-go-live" r:id="rId5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6" min="1" max="1"/>
    <col width="60" customWidth="1" style="26" min="2" max="2"/>
    <col width="40" customWidth="1" style="26" min="3" max="3"/>
    <col width="26" customWidth="1" style="26" min="4" max="4"/>
    <col width="34" customWidth="1" style="26" min="5" max="5"/>
  </cols>
  <sheetData>
    <row r="1" ht="15" customHeight="1" s="27">
      <c r="A1" s="50" t="inlineStr">
        <is>
          <t>Post type</t>
        </is>
      </c>
      <c r="B1" s="50" t="inlineStr">
        <is>
          <t>What it is</t>
        </is>
      </c>
      <c r="C1" s="50" t="inlineStr">
        <is>
          <t>LinkedIn</t>
        </is>
      </c>
      <c r="D1" s="50" t="inlineStr">
        <is>
          <t>X</t>
        </is>
      </c>
      <c r="E1" s="50" t="inlineStr">
        <is>
          <t>Instagram</t>
        </is>
      </c>
    </row>
    <row r="2" ht="23.25" customHeight="1" s="27">
      <c r="A2" s="48" t="inlineStr">
        <is>
          <t>Article post</t>
        </is>
      </c>
      <c r="B2" s="46" t="inlineStr">
        <is>
          <t>The weekly anchor. Sells the featured article and drives people to the site and newsletter.</t>
        </is>
      </c>
      <c r="C2" s="46" t="inlineStr">
        <is>
          <t>Text post, 150–250 words. Article link in the FIRST COMMENT.</t>
        </is>
      </c>
      <c r="D2" s="46" t="inlineStr">
        <is>
          <t>Thread, 5–7 posts. Link in the last post.</t>
        </is>
      </c>
      <c r="E2" s="46" t="inlineStr">
        <is>
          <t>Carousel, 7–9 slides. 'Link in bio' on the last slide.</t>
        </is>
      </c>
    </row>
    <row r="3" ht="23.25" customHeight="1" s="27">
      <c r="A3" s="48" t="inlineStr">
        <is>
          <t>Contrarian take</t>
        </is>
      </c>
      <c r="B3" s="46" t="inlineStr">
        <is>
          <t>A sharp opinion that challenges a common belief. Starts discussion.</t>
        </is>
      </c>
      <c r="C3" s="46" t="inlineStr">
        <is>
          <t>Short text post, 50–120 words. No link.</t>
        </is>
      </c>
      <c r="D3" s="46" t="inlineStr">
        <is>
          <t>Single post.</t>
        </is>
      </c>
      <c r="E3" s="46" t="inlineStr">
        <is>
          <t>Carousel: the take on slide 1, the reasoning over 3–4 slides.</t>
        </is>
      </c>
    </row>
    <row r="4" ht="23.25" customHeight="1" s="27">
      <c r="A4" s="48" t="inlineStr">
        <is>
          <t>Story (your experience)</t>
        </is>
      </c>
      <c r="B4" s="46" t="inlineStr">
        <is>
          <t>A real moment from your own career that illustrates the theme. You write it; the calendar gives the prompt.</t>
        </is>
      </c>
      <c r="C4" s="46" t="inlineStr">
        <is>
          <t>Story post, 150–250 words, from your own experience. No link.</t>
        </is>
      </c>
      <c r="D4" s="46" t="inlineStr">
        <is>
          <t>Short thread, 3–4 posts.</t>
        </is>
      </c>
      <c r="E4" s="46" t="inlineStr">
        <is>
          <t>Reel: 30–45 sec talking to camera.</t>
        </is>
      </c>
    </row>
    <row r="5" ht="15" customHeight="1" s="27">
      <c r="A5" s="48" t="inlineStr">
        <is>
          <t>Stat or framework</t>
        </is>
      </c>
      <c r="B5" s="46" t="inlineStr">
        <is>
          <t>One number or one framework, made visual.</t>
        </is>
      </c>
      <c r="C5" s="46" t="inlineStr">
        <is>
          <t>Image or document carousel. No link.</t>
        </is>
      </c>
      <c r="D5" s="46" t="inlineStr">
        <is>
          <t>Single post with the image.</t>
        </is>
      </c>
      <c r="E5" s="46" t="inlineStr">
        <is>
          <t>Carousel, 5–7 slides.</t>
        </is>
      </c>
    </row>
    <row r="6" ht="23.25" customHeight="1" s="27">
      <c r="A6" s="48" t="inlineStr">
        <is>
          <t>Question / poll</t>
        </is>
      </c>
      <c r="B6" s="46" t="inlineStr">
        <is>
          <t>A question or poll that invites people to share their experience.</t>
        </is>
      </c>
      <c r="C6" s="46" t="inlineStr">
        <is>
          <t>LinkedIn poll (1 week). Reply to comments.</t>
        </is>
      </c>
      <c r="D6" s="46" t="inlineStr">
        <is>
          <t>Poll.</t>
        </is>
      </c>
      <c r="E6" s="46" t="inlineStr">
        <is>
          <t>Story poll, plus a quote graphic in the feed.</t>
        </is>
      </c>
    </row>
    <row r="7" ht="15" customHeight="1" s="27">
      <c r="A7" s="48" t="inlineStr">
        <is>
          <t>Myth vs reality</t>
        </is>
      </c>
      <c r="B7" s="46" t="inlineStr">
        <is>
          <t>A common belief and why it's wrong.</t>
        </is>
      </c>
      <c r="C7" s="46" t="inlineStr">
        <is>
          <t>Text post or document carousel. No link.</t>
        </is>
      </c>
      <c r="D7" s="46" t="inlineStr">
        <is>
          <t>Single post.</t>
        </is>
      </c>
      <c r="E7" s="46" t="inlineStr">
        <is>
          <t>Carousel: myth slide, reality slide.</t>
        </is>
      </c>
    </row>
    <row r="8" ht="15" customHeight="1" s="27">
      <c r="A8" s="48" t="inlineStr">
        <is>
          <t>Checklist</t>
        </is>
      </c>
      <c r="B8" s="46" t="inlineStr">
        <is>
          <t>A short list people save and come back to.</t>
        </is>
      </c>
      <c r="C8" s="46" t="inlineStr">
        <is>
          <t>Document carousel (PDF), one item per page.</t>
        </is>
      </c>
      <c r="D8" s="46" t="inlineStr">
        <is>
          <t>Thread, one item per post.</t>
        </is>
      </c>
      <c r="E8" s="46" t="inlineStr">
        <is>
          <t>Carousel, one item per slide.</t>
        </is>
      </c>
    </row>
    <row r="9" ht="15" customHeight="1" s="27">
      <c r="A9" s="48" t="inlineStr">
        <is>
          <t>Analogy</t>
        </is>
      </c>
      <c r="B9" s="46" t="inlineStr">
        <is>
          <t>An everyday comparison that makes a technical idea click.</t>
        </is>
      </c>
      <c r="C9" s="46" t="inlineStr">
        <is>
          <t>Short text post, 50–120 words. No link.</t>
        </is>
      </c>
      <c r="D9" s="46" t="inlineStr">
        <is>
          <t>Single post.</t>
        </is>
      </c>
      <c r="E9" s="46" t="inlineStr">
        <is>
          <t>Quote graphic.</t>
        </is>
      </c>
    </row>
    <row r="11" ht="15" customHeight="1" s="27">
      <c r="A11" s="31" t="inlineStr">
        <is>
          <t>Posts per type</t>
        </is>
      </c>
    </row>
    <row r="12" ht="15" customHeight="1" s="27">
      <c r="A12" s="29" t="inlineStr">
        <is>
          <t>Article post</t>
        </is>
      </c>
      <c r="B12" s="29">
        <f>COUNTIF(Calendar!$F:$F,A12)</f>
        <v/>
      </c>
    </row>
    <row r="13" ht="15" customHeight="1" s="27">
      <c r="A13" s="29" t="inlineStr">
        <is>
          <t>Contrarian take</t>
        </is>
      </c>
      <c r="B13" s="29">
        <f>COUNTIF(Calendar!$F:$F,A13)</f>
        <v/>
      </c>
    </row>
    <row r="14" ht="15" customHeight="1" s="27">
      <c r="A14" s="29" t="inlineStr">
        <is>
          <t>Story (your experience)</t>
        </is>
      </c>
      <c r="B14" s="29">
        <f>COUNTIF(Calendar!$F:$F,A14)</f>
        <v/>
      </c>
    </row>
    <row r="15" ht="15" customHeight="1" s="27">
      <c r="A15" s="29" t="inlineStr">
        <is>
          <t>Stat or framework</t>
        </is>
      </c>
      <c r="B15" s="29">
        <f>COUNTIF(Calendar!$F:$F,A15)</f>
        <v/>
      </c>
    </row>
    <row r="16" ht="15" customHeight="1" s="27">
      <c r="A16" s="29" t="inlineStr">
        <is>
          <t>Question / poll</t>
        </is>
      </c>
      <c r="B16" s="29">
        <f>COUNTIF(Calendar!$F:$F,A16)</f>
        <v/>
      </c>
    </row>
    <row r="17" ht="15" customHeight="1" s="27">
      <c r="A17" s="29" t="inlineStr">
        <is>
          <t>Myth vs reality</t>
        </is>
      </c>
      <c r="B17" s="29">
        <f>COUNTIF(Calendar!$F:$F,A17)</f>
        <v/>
      </c>
    </row>
    <row r="18" ht="15" customHeight="1" s="27">
      <c r="A18" s="29" t="inlineStr">
        <is>
          <t>Checklist</t>
        </is>
      </c>
      <c r="B18" s="29">
        <f>COUNTIF(Calendar!$F:$F,A18)</f>
        <v/>
      </c>
    </row>
    <row r="19" ht="15" customHeight="1" s="27">
      <c r="A19" s="29" t="inlineStr">
        <is>
          <t>Analogy</t>
        </is>
      </c>
      <c r="B19" s="29">
        <f>COUNTIF(Calendar!$F:$F,A19)</f>
        <v/>
      </c>
    </row>
    <row r="20" ht="15" customHeight="1" s="27">
      <c r="A20" s="51" t="inlineStr">
        <is>
          <t>Total</t>
        </is>
      </c>
      <c r="B20" s="51">
        <f>SUM(B12:B19)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2026-10-18T09:23:19Z</dcterms:created>
  <dcterms:modified xmlns:dcterms="http://purl.org/dc/terms/" xmlns:xsi="http://www.w3.org/2001/XMLSchema-instance" xsi:type="dcterms:W3CDTF">2026-10-20T16:49:32Z</dcterms:modified>
  <cp:revision>0</cp:revision>
</cp:coreProperties>
</file>